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<sst xmlns="http://schemas.openxmlformats.org/spreadsheetml/2006/main" count="9359" uniqueCount="698">
  <si>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</si>
  <si>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</si>
  <si>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</si>
  <si>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</si>
  <si>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</si>
  <si>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</si>
  <si>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</si>
  <si>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박상웅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</si>
  <si>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</si>
  <si>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</si>
  <si>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</si>
  <si>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</si>
  <si>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</si>
  <si>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</si>
  <si>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</si>
  <si>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</si>
  <si>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</si>
  <si>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</si>
  <si>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</si>
  <si>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</si>
  <si>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</si>
  <si>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</si>
  <si>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</si>
  <si>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</si>
  <si>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</si>
  <si>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</si>
  <si>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</si>
  <si>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</si>
  <si>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금융수입</t>
  </si>
  <si>
    <t>급여</t>
  </si>
  <si>
    <t>용돈</t>
  </si>
  <si>
    <t>월수입 총계</t>
  </si>
  <si>
    <t>경조/선물</t>
  </si>
  <si>
    <t>교통</t>
  </si>
  <si>
    <t>금융</t>
  </si>
  <si>
    <t>문화/여가</t>
  </si>
  <si>
    <t>반려동물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</si>
  <si>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</si>
  <si>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</si>
  <si>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</si>
  <si>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</si>
  <si>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</si>
  <si>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</si>
  <si>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</si>
  <si>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</si>
  <si>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</si>
  <si>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</si>
  <si>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</si>
  <si>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</si>
  <si>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</si>
  <si>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</si>
  <si>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</si>
  <si>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</si>
  <si>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</si>
  <si>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</si>
  <si>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</si>
  <si>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</si>
  <si>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U드림 저축예금 (인터넷전용)</t>
  </si>
  <si>
    <t>Young 하나 통장</t>
  </si>
  <si>
    <t>보통예금(IBK주거래생활금융통장)</t>
  </si>
  <si>
    <t>입출금통장</t>
  </si>
  <si>
    <t>저축예금</t>
  </si>
  <si>
    <t>출자금</t>
  </si>
  <si>
    <t>신탁 자산</t>
  </si>
  <si>
    <t>현금 자산</t>
  </si>
  <si>
    <t>현금</t>
  </si>
  <si>
    <t>저축성 자산</t>
  </si>
  <si>
    <t>IBK청년도약계좌</t>
  </si>
  <si>
    <t>정기예탁금</t>
  </si>
  <si>
    <t>주택청약종합저축</t>
  </si>
  <si>
    <t>전자금융 자산</t>
  </si>
  <si>
    <t>네이버페이 머니 - swpa****</t>
  </si>
  <si>
    <t>카카오페이 머니 - 010*****716</t>
  </si>
  <si>
    <t>토스머니</t>
  </si>
  <si>
    <t>투자성 자산</t>
  </si>
  <si>
    <t>신영증권보통주</t>
  </si>
  <si>
    <t>삼성전자보통주</t>
  </si>
  <si>
    <t>대신증권1우선주</t>
  </si>
  <si>
    <t>중소기업은행보통주</t>
  </si>
  <si>
    <t>제이와이피엔터테인먼트</t>
  </si>
  <si>
    <t>이노션보통주</t>
  </si>
  <si>
    <t>포스코홀딩스보통주</t>
  </si>
  <si>
    <t>LG보통주</t>
  </si>
  <si>
    <t>NAVER보통주</t>
  </si>
  <si>
    <t>LG화학1우선주</t>
  </si>
  <si>
    <t>케이티보통주</t>
  </si>
  <si>
    <t>강원랜드보통주</t>
  </si>
  <si>
    <t>한전KPS 보통주</t>
  </si>
  <si>
    <t>제일기획보통주</t>
  </si>
  <si>
    <t>삼성화재해상보험1우선주</t>
  </si>
  <si>
    <t>대신증권보통주</t>
  </si>
  <si>
    <t>도화엔지니어링보통주</t>
  </si>
  <si>
    <t>대한항공보통주</t>
  </si>
  <si>
    <t>풍산홀딩스보통주</t>
  </si>
  <si>
    <t>이건산업보통주</t>
  </si>
  <si>
    <t>맥쿼리한국인프라투융자회사 보통주</t>
  </si>
  <si>
    <t>서울보증보험보통주</t>
  </si>
  <si>
    <t>하나투어보통주</t>
  </si>
  <si>
    <t>한전KPS</t>
  </si>
  <si>
    <t>신영증권</t>
  </si>
  <si>
    <t>LG</t>
  </si>
  <si>
    <t>개인종합자산관리계좌(중개형)</t>
  </si>
  <si>
    <t>밸런스 CMA</t>
  </si>
  <si>
    <t>종합계좌</t>
  </si>
  <si>
    <t>종합투자상품</t>
  </si>
  <si>
    <t>주식계좌</t>
  </si>
  <si>
    <t>부동산</t>
  </si>
  <si>
    <t>동산</t>
  </si>
  <si>
    <t>기타 실물 자산</t>
  </si>
  <si>
    <t>보험 자산</t>
  </si>
  <si>
    <t>삼성 다(多)모은 건강보험(2502)(무배당) 필요한 보장만 쏙쏙_1종</t>
  </si>
  <si>
    <t>연금 자산</t>
  </si>
  <si>
    <t>퇴직연금 개인IRP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</si>
  <si>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</si>
  <si>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</si>
  <si>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</si>
  <si>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</si>
  <si>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</si>
  <si>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</si>
  <si>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</si>
  <si>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</si>
  <si>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</si>
  <si>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</si>
  <si>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</si>
  <si>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</si>
  <si>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삼성생명</t>
  </si>
  <si>
    <t>정상</t>
  </si>
  <si>
    <t>보유계약건수</t>
  </si>
  <si>
    <t>정상 1건</t>
  </si>
  <si>
    <t>총 납입금</t>
  </si>
  <si>
    <t>총 1건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</si>
  <si>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</si>
  <si>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</si>
  <si>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</si>
  <si>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</si>
  <si>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</si>
  <si>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</si>
  <si>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</si>
  <si>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</si>
  <si>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</si>
  <si>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대신증권</t>
  </si>
  <si>
    <t>카카오페이 증권</t>
  </si>
  <si>
    <t>보유상품개수</t>
  </si>
  <si>
    <t>총 투자 원금</t>
  </si>
  <si>
    <t>총 평가 금액</t>
  </si>
  <si>
    <t>총 수익률</t>
  </si>
  <si>
    <t>총 41개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</si>
  <si>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</si>
  <si>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</si>
  <si>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</si>
  <si>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</si>
  <si>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</si>
  <si>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</si>
  <si>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</si>
  <si>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</si>
  <si>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</si>
  <si>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</si>
  <si>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</si>
  <si>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</si>
  <si>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</si>
  <si>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</si>
  <si>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</si>
  <si>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</si>
  <si>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</si>
  <si>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</si>
  <si>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</si>
  <si>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</si>
  <si>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</si>
  <si>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커피/음료</t>
  </si>
  <si>
    <t>이디야커피 해군회관</t>
  </si>
  <si>
    <t>KRW</t>
  </si>
  <si>
    <t>카드의정석 EVERY 1</t>
  </si>
  <si>
    <t>이체</t>
  </si>
  <si>
    <t>미분류</t>
  </si>
  <si>
    <t>김*현</t>
  </si>
  <si>
    <t>카카오페이 머니</t>
  </si>
  <si>
    <t>한식</t>
  </si>
  <si>
    <t>킹콩부대찌개(구로디</t>
  </si>
  <si>
    <t>스타벅스 코리아</t>
  </si>
  <si>
    <t>운동</t>
  </si>
  <si>
    <t>업프로짐(UPPROGYM)_문화비</t>
  </si>
  <si>
    <t>편의점</t>
  </si>
  <si>
    <t>세븐일레븐 독산본점</t>
  </si>
  <si>
    <t>백화점</t>
  </si>
  <si>
    <t>한무쇼핑(주)</t>
  </si>
  <si>
    <t>휴대폰</t>
  </si>
  <si>
    <t>핀다이렉트</t>
  </si>
  <si>
    <t>KT Super할부 Plus</t>
  </si>
  <si>
    <t>서비스구독</t>
  </si>
  <si>
    <t>씨제이올리브네트웍스</t>
  </si>
  <si>
    <t>저축</t>
  </si>
  <si>
    <t>제주양파</t>
  </si>
  <si>
    <t>씨유(CU) 공군회관점</t>
  </si>
  <si>
    <t>양식</t>
  </si>
  <si>
    <t>(주)에렉스</t>
  </si>
  <si>
    <t>내계좌이체</t>
  </si>
  <si>
    <t>국민박상웅</t>
  </si>
  <si>
    <t>도서</t>
  </si>
  <si>
    <t>시리즈</t>
  </si>
  <si>
    <t>네이버페이 간편결제</t>
  </si>
  <si>
    <t>카드대금</t>
  </si>
  <si>
    <t>우리카드결제대금</t>
  </si>
  <si>
    <t>쿠팡</t>
  </si>
  <si>
    <t>약국</t>
  </si>
  <si>
    <t>신림역약국</t>
  </si>
  <si>
    <t>일품돼지국밥 삼성역점</t>
  </si>
  <si>
    <t>카드</t>
  </si>
  <si>
    <t>이용알림플러스-03월분</t>
  </si>
  <si>
    <t>은행</t>
  </si>
  <si>
    <t>우리알림서비스-03월분</t>
  </si>
  <si>
    <t>여행</t>
  </si>
  <si>
    <t>(주)마이리얼트립</t>
  </si>
  <si>
    <t>시외버스</t>
  </si>
  <si>
    <t>고속시외_현장</t>
  </si>
  <si>
    <t>플레이팅인천공항제1터미널점</t>
  </si>
  <si>
    <t>적금14001(32)</t>
  </si>
  <si>
    <t>신한이진아</t>
  </si>
  <si>
    <t>결제/충전</t>
  </si>
  <si>
    <t>내통장결제</t>
  </si>
  <si>
    <t>디저트/떡</t>
  </si>
  <si>
    <t>리브팜 인천공항 T1 A/S</t>
  </si>
  <si>
    <t>생필품</t>
  </si>
  <si>
    <t>아성다이소</t>
  </si>
  <si>
    <t>가구/가전</t>
  </si>
  <si>
    <t>(주)신세계까사</t>
  </si>
  <si>
    <t>전시/관람</t>
  </si>
  <si>
    <t>(주)신세계 프라퍼티 코엑스몰</t>
  </si>
  <si>
    <t>재수돈감자탕삼성점</t>
  </si>
  <si>
    <t>쿠팡페이</t>
  </si>
  <si>
    <t>세븐일레븐 관악봉천로점</t>
  </si>
  <si>
    <t>싸다김밥(신림역점)</t>
  </si>
  <si>
    <t>유튜브프리미엄</t>
  </si>
  <si>
    <t>씨유(CU)금천반수공원점</t>
  </si>
  <si>
    <t>수입</t>
  </si>
  <si>
    <t>영국영화</t>
  </si>
  <si>
    <t>인터넷쇼핑</t>
  </si>
  <si>
    <t>쿠팡(주)</t>
  </si>
  <si>
    <t>KB국민 청춘대로 톡톡카드(빅몬)</t>
  </si>
  <si>
    <t>패션</t>
  </si>
  <si>
    <t>(주)엔캣 홈플러스 금천점</t>
  </si>
  <si>
    <t>화장품</t>
  </si>
  <si>
    <t>씨제이올리브영(주)</t>
  </si>
  <si>
    <t>쿠팡(쿠페이)</t>
  </si>
  <si>
    <t>KB국민 나라사랑체크카드(일반형 RF)</t>
  </si>
  <si>
    <t>패스트푸드</t>
  </si>
  <si>
    <t>롯데리아 홈플러스금천점</t>
  </si>
  <si>
    <t>NICE 결제대행</t>
  </si>
  <si>
    <t>인터넷상거래</t>
  </si>
  <si>
    <t>투자</t>
  </si>
  <si>
    <t>양상군자</t>
  </si>
  <si>
    <t>본지르르 성수</t>
  </si>
  <si>
    <t>한국맥도날드(유) 서울시흥DT점</t>
  </si>
  <si>
    <t>ALIPAY CONNECT PTE. LTD</t>
  </si>
  <si>
    <t>카카오페이 간편결제</t>
  </si>
  <si>
    <t>피자</t>
  </si>
  <si>
    <t>코너피자조인트</t>
  </si>
  <si>
    <t>자동결제</t>
  </si>
  <si>
    <t>택시</t>
  </si>
  <si>
    <t>티머니택시(법인)_4</t>
  </si>
  <si>
    <t>마트</t>
  </si>
  <si>
    <t>가든슈퍼</t>
  </si>
  <si>
    <t>배달</t>
  </si>
  <si>
    <t>쿠팡이츠</t>
  </si>
  <si>
    <t>송금 내역</t>
  </si>
  <si>
    <t>박*웅</t>
  </si>
  <si>
    <t>카카오페이</t>
  </si>
  <si>
    <t>함*승</t>
  </si>
  <si>
    <t>커피빈 코엑스웨스턴</t>
  </si>
  <si>
    <t>03월카드사용알림서비스이용료</t>
  </si>
  <si>
    <t>중식</t>
  </si>
  <si>
    <t>딤딤섬 파르나스몰점</t>
  </si>
  <si>
    <t>음악</t>
  </si>
  <si>
    <t>보노코인노래연습장</t>
  </si>
  <si>
    <t>세븐일레븐 금천부창점</t>
  </si>
  <si>
    <t>태영생막창</t>
  </si>
  <si>
    <t>주식회사 티머니</t>
  </si>
  <si>
    <t>_Klook</t>
  </si>
  <si>
    <t>지에스(GS)육천냉면</t>
  </si>
  <si>
    <t>입출금통장 이자</t>
  </si>
  <si>
    <t>카페24</t>
  </si>
  <si>
    <t>전자수입인지(종이문서)</t>
  </si>
  <si>
    <t>씨유(CU)독산남문점</t>
  </si>
  <si>
    <t>대중교통</t>
  </si>
  <si>
    <t>서울교통공사</t>
  </si>
  <si>
    <t>이*형</t>
  </si>
  <si>
    <t>세븐일레븐 공항타워점</t>
  </si>
  <si>
    <t>디카르고월급여</t>
  </si>
  <si>
    <t>티머니 버스.지하철</t>
  </si>
  <si>
    <t>생활서비스</t>
  </si>
  <si>
    <t>공우이엔씨주식회사</t>
  </si>
  <si>
    <t>세븐일레븐 서구으뜸점</t>
  </si>
  <si>
    <t>예금결산이자</t>
  </si>
  <si>
    <t>(주)에스와이에스홀</t>
  </si>
  <si>
    <t>영화</t>
  </si>
  <si>
    <t>롯데시네마 용산_티켓 외</t>
  </si>
  <si>
    <t>코레일유통주식회사(용산역)</t>
  </si>
  <si>
    <t>아울렛/몰</t>
  </si>
  <si>
    <t>에이치디씨아이파크몰</t>
  </si>
  <si>
    <t>북악팔각정(하늘레스</t>
  </si>
  <si>
    <t>등촌샤브칼국수 가산점</t>
  </si>
  <si>
    <t>스포츠의류</t>
  </si>
  <si>
    <t>온코리아 유한회사</t>
  </si>
  <si>
    <t>미담김밥</t>
  </si>
  <si>
    <t>먹깨비김밥</t>
  </si>
  <si>
    <t>주식회사 우아한형제들</t>
  </si>
  <si>
    <t>커피팩토리쏘(교육점</t>
  </si>
  <si>
    <t>세븐일레븐 금천은행나무로점</t>
  </si>
  <si>
    <t>에이치앤엠헤네스앤모</t>
  </si>
  <si>
    <t>네이버파이낸셜(주)</t>
  </si>
  <si>
    <t>이용알림플러스-02월분</t>
  </si>
  <si>
    <t>우리알림서비스-02월분</t>
  </si>
  <si>
    <t>항공권</t>
  </si>
  <si>
    <t>투어비스_항공</t>
  </si>
  <si>
    <t>주식회사 타이드스퀘어 투어비스</t>
  </si>
  <si>
    <t>파이어벨 코엑스점</t>
  </si>
  <si>
    <t>삼성대주옥</t>
  </si>
  <si>
    <t>다운</t>
  </si>
  <si>
    <t>전통백암순대국</t>
  </si>
  <si>
    <t>(MAMI)김밥</t>
  </si>
  <si>
    <t>적금14001(31)</t>
  </si>
  <si>
    <t>쿠팡(와우 멤버십)</t>
  </si>
  <si>
    <t>어머니족발</t>
  </si>
  <si>
    <t>동물병원</t>
  </si>
  <si>
    <t>선릉동물병원</t>
  </si>
  <si>
    <t>뷔페</t>
  </si>
  <si>
    <t>밥스키친</t>
  </si>
  <si>
    <t>김명자굴국밥삼성점</t>
  </si>
  <si>
    <t>사브르파리 성수스토어</t>
  </si>
  <si>
    <t>전자방</t>
  </si>
  <si>
    <t>일식</t>
  </si>
  <si>
    <t>오마카세 오사이초밥 사당점</t>
  </si>
  <si>
    <t>소망약국</t>
  </si>
  <si>
    <t>이비인후과</t>
  </si>
  <si>
    <t>코모키이비인후과</t>
  </si>
  <si>
    <t>스포츠</t>
  </si>
  <si>
    <t>스타당구장</t>
  </si>
  <si>
    <t>투썸플레이스 구로디</t>
  </si>
  <si>
    <t>육전국밥 신대방삼거리역점</t>
  </si>
  <si>
    <t>앱스토어</t>
  </si>
  <si>
    <t>Apple</t>
  </si>
  <si>
    <t>02월카드사용알림서비스이용료</t>
  </si>
  <si>
    <t>씨유공군회관점</t>
  </si>
  <si>
    <t>세금/과태료</t>
  </si>
  <si>
    <t>국민박지훈</t>
  </si>
  <si>
    <t>G마켓(1566-5701)</t>
  </si>
  <si>
    <t>고은온누리약국</t>
  </si>
  <si>
    <t>내과/가정의학</t>
  </si>
  <si>
    <t>이내과의원</t>
  </si>
  <si>
    <t>후토루삼성점</t>
  </si>
  <si>
    <t>홍*혁</t>
  </si>
  <si>
    <t>헤어샵</t>
  </si>
  <si>
    <t>헤어디렉터</t>
  </si>
  <si>
    <t>박*식</t>
  </si>
  <si>
    <t>KCP결제</t>
  </si>
  <si>
    <t>OPENAI *CHATGPT SUBSCR</t>
  </si>
  <si>
    <t>GS25관악성진점</t>
  </si>
  <si>
    <t>식재료</t>
  </si>
  <si>
    <t>주식회사 한숲</t>
  </si>
  <si>
    <t>맥주/호프</t>
  </si>
  <si>
    <t>역전할머니맥주(대방역점)</t>
  </si>
  <si>
    <t>게임</t>
  </si>
  <si>
    <t>아레나블랙PC</t>
  </si>
  <si>
    <t>카페 플로라운지</t>
  </si>
  <si>
    <t>(주)지오다노 타임</t>
  </si>
  <si>
    <t>이마트 영등포점</t>
  </si>
  <si>
    <t>우리알림서비스-01월분</t>
  </si>
  <si>
    <t>이용알림플러스-01월분</t>
  </si>
  <si>
    <t>페이홍러우 삼성점</t>
  </si>
  <si>
    <t>주식회사 카카오</t>
  </si>
  <si>
    <t>카카박상웅</t>
  </si>
  <si>
    <t>25년출자배당금</t>
  </si>
  <si>
    <t>라밥LABAB(대방점)</t>
  </si>
  <si>
    <t>적금14001(30)</t>
  </si>
  <si>
    <t>계좌개설용5172</t>
  </si>
  <si>
    <t>이연희</t>
  </si>
  <si>
    <t>블루보틀커피코리아</t>
  </si>
  <si>
    <t>유쾌한가족회비</t>
  </si>
  <si>
    <t>황*준</t>
  </si>
  <si>
    <t>노래야노래야 코인연습장(노량진점)</t>
  </si>
  <si>
    <t>팔각도노량진역점</t>
  </si>
  <si>
    <t>포포PC방 노량진2호점</t>
  </si>
  <si>
    <t>온유약국</t>
  </si>
  <si>
    <t>코코이비인후과의원</t>
  </si>
  <si>
    <t>고기</t>
  </si>
  <si>
    <t>탐라도야지</t>
  </si>
  <si>
    <t>철도</t>
  </si>
  <si>
    <t>한국철도공사</t>
  </si>
  <si>
    <t>북촌손만두 대방역점</t>
  </si>
  <si>
    <t>호랑이푸드</t>
  </si>
  <si>
    <t>홈플러스 익스프레스대방점</t>
  </si>
  <si>
    <t>(주)소울푸드인서울</t>
  </si>
  <si>
    <t>여의화로 본점</t>
  </si>
  <si>
    <t>01월카드사용알림서비스이용료</t>
  </si>
  <si>
    <t>01월서울버스5건</t>
  </si>
  <si>
    <t>밀밭칼국수</t>
  </si>
  <si>
    <t>기기커피 역삼점/주</t>
  </si>
  <si>
    <t>커피팩토리쏘(교육점)</t>
  </si>
  <si>
    <t>주식회사 능동미나리 여의도지점</t>
  </si>
  <si>
    <t>자연석 돌구이 생 삼겹살 한우</t>
  </si>
  <si>
    <t>치과</t>
  </si>
  <si>
    <t>서울해치과</t>
  </si>
  <si>
    <t>11번가</t>
  </si>
  <si>
    <t>전자랜드</t>
  </si>
  <si>
    <t>OPENAI                 SAN FRANCISCO USA</t>
  </si>
  <si>
    <t>쿠팡(와우 멤버십)-쿠팡(와우 멤버십)</t>
  </si>
  <si>
    <t>도넛/핫도그</t>
  </si>
  <si>
    <t>경성찹쌀꽈배기</t>
  </si>
  <si>
    <t>국회후생복지위원회</t>
  </si>
  <si>
    <t>홍수계찜닭 코엑스점</t>
  </si>
  <si>
    <t>우리알림서비스-12월분</t>
  </si>
  <si>
    <t>이용알림플러스-12월분</t>
  </si>
  <si>
    <t>제이웍스코리아</t>
  </si>
  <si>
    <t>네이버페이 간편결제(포인트)</t>
  </si>
  <si>
    <t>아이스크림/빙수</t>
  </si>
  <si>
    <t>베스킨라빈스대방역점</t>
  </si>
  <si>
    <t>후불교통대금</t>
  </si>
  <si>
    <t>적금14001(29)</t>
  </si>
  <si>
    <t>송강제면소강남삼성점</t>
  </si>
  <si>
    <t>커피에반하다 스마트카페</t>
  </si>
  <si>
    <t>투썸플레이스</t>
  </si>
  <si>
    <t>인터넷상거래_1</t>
  </si>
  <si>
    <t>빙고코다리아구찜삼성본점</t>
  </si>
  <si>
    <t>손에손잡고 삼성직영점</t>
  </si>
  <si>
    <t>베이커리</t>
  </si>
  <si>
    <t>라듀레</t>
  </si>
  <si>
    <t>12 월 버스 1건</t>
  </si>
  <si>
    <t>프렌즈 체크카드_MC_후불교통_케이패스춘식이</t>
  </si>
  <si>
    <t>12월카드사용알림서비스이용료</t>
  </si>
  <si>
    <t>코레일유통주식회사(</t>
  </si>
  <si>
    <t>삼진어묵(주) 부산</t>
  </si>
  <si>
    <t>주식회사 톤쇼우</t>
  </si>
  <si>
    <t>세븐일레븐 부산민락본동점</t>
  </si>
  <si>
    <t>비알코리아   던킨 부산역라마다점</t>
  </si>
  <si>
    <t>씨유(CU) 부산역BRT점</t>
  </si>
  <si>
    <t>배스킨라빈스 부산역광장점</t>
  </si>
  <si>
    <t>이디야 롯데 후문점</t>
  </si>
  <si>
    <t>롯데쇼핑(주)부산점</t>
  </si>
  <si>
    <t>아시아음식</t>
  </si>
  <si>
    <t>주식회사 서북</t>
  </si>
  <si>
    <t>기부/헌금</t>
  </si>
  <si>
    <t>토라</t>
  </si>
  <si>
    <t>봄약국</t>
  </si>
  <si>
    <t>홈쇼핑</t>
  </si>
  <si>
    <t>GS SHOP</t>
  </si>
  <si>
    <t>신규</t>
  </si>
  <si>
    <t>디저트39 대방역점</t>
  </si>
  <si>
    <t>페이레터주식회사</t>
  </si>
  <si>
    <t>주) 비지에프네트웍스</t>
  </si>
  <si>
    <t>우리알림서비스-11월분 면제</t>
  </si>
  <si>
    <t>2025년결산</t>
  </si>
  <si>
    <t>이용알림플러스-11월분 면제</t>
  </si>
  <si>
    <t>적금14001(28)</t>
  </si>
  <si>
    <t>숙박비</t>
  </si>
  <si>
    <t>나이스정보통신 주식회사</t>
  </si>
  <si>
    <t>(주)원티드랩</t>
  </si>
  <si>
    <t>로지텍 정품 스토어</t>
  </si>
  <si>
    <t>네이버페이 간편결제(머니)</t>
  </si>
  <si>
    <t>바른마을</t>
  </si>
  <si>
    <t>레이지모닝</t>
  </si>
  <si>
    <t>동대구365약국</t>
  </si>
  <si>
    <t>세븐일레븐 대구본점</t>
  </si>
  <si>
    <t>윤봉근돼지고기전문점(동대구점)</t>
  </si>
  <si>
    <t>키비(Kee Bee) 동성로점</t>
  </si>
  <si>
    <t>대빵인형뽑기 동성로1호점</t>
  </si>
  <si>
    <t>이씨(ici)</t>
  </si>
  <si>
    <t>코레일유통주식회사(서울역)</t>
  </si>
  <si>
    <t>롯데리아서울역사</t>
  </si>
  <si>
    <t>업투프리미엄대방역 사우나 휘트니스</t>
  </si>
  <si>
    <t>11월카드사용알림서비스이용료</t>
  </si>
  <si>
    <t>뮤즈</t>
  </si>
  <si>
    <t>순대실록삼성역점</t>
  </si>
  <si>
    <t>(PG)이니시스</t>
  </si>
  <si>
    <t>늘푸른 푸드</t>
  </si>
  <si>
    <t>홈런호프치킨</t>
  </si>
  <si>
    <t>홈플러스(주)</t>
  </si>
  <si>
    <t>맘스터치대방역점</t>
  </si>
  <si>
    <t>코레일유통주식회사(신길역)</t>
  </si>
  <si>
    <t>옥션</t>
  </si>
  <si>
    <t>적금14001(27)</t>
  </si>
  <si>
    <t>한화커넥트 (주)</t>
  </si>
  <si>
    <t>엠브로돈까스 서울대입구역점</t>
  </si>
  <si>
    <t>레드포스PC</t>
  </si>
  <si>
    <t>(주)카카오페이</t>
  </si>
  <si>
    <t>(주)경방</t>
  </si>
  <si>
    <t>코레일유통주식회사/</t>
  </si>
  <si>
    <t>팜팜약국</t>
  </si>
  <si>
    <t>박*진</t>
  </si>
  <si>
    <t>쿠팡(와우멤버십)</t>
  </si>
  <si>
    <t>청수정</t>
  </si>
  <si>
    <t>10월카드사용알림서비스이용료</t>
  </si>
  <si>
    <t>김*민</t>
  </si>
  <si>
    <t>기타간식</t>
  </si>
  <si>
    <t>패밀리마트(수입과자)</t>
  </si>
  <si>
    <t>CLAUDE.AI SUBSCRIPTION</t>
  </si>
  <si>
    <t>얌샘김밥 동대구역점</t>
  </si>
  <si>
    <t>우야지막창동대구역점</t>
  </si>
  <si>
    <t>주식회사 코리아와이</t>
  </si>
  <si>
    <t>(주)대승인터컴</t>
  </si>
  <si>
    <t>르폴뒤</t>
  </si>
  <si>
    <t>(주)바르미 동대구스시</t>
  </si>
  <si>
    <t>코레일유통주식회사(동대구역)</t>
  </si>
  <si>
    <t>적금14001(26)</t>
  </si>
  <si>
    <t>커피팩토리쏘교육점</t>
  </si>
  <si>
    <t>(주)네이처리퍼블릭</t>
  </si>
  <si>
    <t>뚜레쥬르</t>
  </si>
  <si>
    <t>웰컴페이먼츠 주식회사</t>
  </si>
  <si>
    <t>미션클리어 방이점</t>
  </si>
  <si>
    <t>쁘띠클로</t>
  </si>
  <si>
    <t>신의주찹쌀순대</t>
  </si>
  <si>
    <t>해피스페이스</t>
  </si>
  <si>
    <t>세븐일레븐 방이대명점</t>
  </si>
  <si>
    <t>(주)엠글로벌스</t>
  </si>
  <si>
    <t>oasis mete PC&amp;COIN 노래연습장</t>
  </si>
  <si>
    <t>미분당 송파점</t>
  </si>
  <si>
    <t>설화</t>
  </si>
  <si>
    <t>CJ CGV</t>
  </si>
  <si>
    <t>마굿간생고기</t>
  </si>
  <si>
    <t>지지(GG)게임장</t>
  </si>
  <si>
    <t>폼드팡베이커리 보라매점</t>
  </si>
  <si>
    <t>스파오 스토어</t>
  </si>
  <si>
    <t>09월카드사용알림서비스이용료</t>
  </si>
  <si>
    <t>홈앤쇼핑</t>
  </si>
  <si>
    <t>삼삼엠투</t>
  </si>
  <si>
    <t>화양연화</t>
  </si>
  <si>
    <t>주식회사 바나플에프엔비</t>
  </si>
  <si>
    <t>왓더버거 보라매점</t>
  </si>
  <si>
    <t>만족오향족발</t>
  </si>
  <si>
    <t>테마파크</t>
  </si>
  <si>
    <t>(주)서울오션아쿠아</t>
  </si>
  <si>
    <t>창경궁자판기</t>
  </si>
  <si>
    <t>국가유산청(유포러스</t>
  </si>
  <si>
    <t>백부장집</t>
  </si>
  <si>
    <t>주식회사 놀유니버스</t>
  </si>
  <si>
    <t>아시아나항공</t>
  </si>
  <si>
    <t>대한항공</t>
  </si>
  <si>
    <t>박*규</t>
  </si>
  <si>
    <t>해외결제</t>
  </si>
  <si>
    <t>주식회사 트립닷컴코리아</t>
  </si>
  <si>
    <t>GS25오크우드점</t>
  </si>
  <si>
    <t>코레일유통(울산)</t>
  </si>
  <si>
    <t>GS25울산신화점</t>
  </si>
  <si>
    <t>돌하우스 울산병영점</t>
  </si>
  <si>
    <t>5시5막창팩토리</t>
  </si>
  <si>
    <t>주차</t>
  </si>
  <si>
    <t>아이파킹 주식회사</t>
  </si>
  <si>
    <t>관리비</t>
  </si>
  <si>
    <t>울산광역시 동구청</t>
  </si>
  <si>
    <t>슬도(SEULDO)카페</t>
  </si>
  <si>
    <t>풀무원푸드앤컬처 김</t>
  </si>
  <si>
    <t>적금14001(25)</t>
  </si>
  <si>
    <t>농협강경심</t>
  </si>
  <si>
    <t>신한삼삼엠투</t>
  </si>
  <si>
    <t>KICC(일반)</t>
  </si>
  <si>
    <t>GS25대방경남점</t>
  </si>
  <si>
    <t>(주)이동의즐거움</t>
  </si>
  <si>
    <t>이동의즐거움_택시_0</t>
  </si>
  <si>
    <t>0205342940159</t>
  </si>
  <si>
    <t>08월카드사용알림서비스이용료</t>
  </si>
  <si>
    <t>GS25 애드디에스</t>
  </si>
  <si>
    <t>신세계 대구점</t>
  </si>
  <si>
    <t>디저트참잘하는집 대구중앙로역점</t>
  </si>
  <si>
    <t>베스티아대구점</t>
  </si>
  <si>
    <t>취미/체험</t>
  </si>
  <si>
    <t>토이즈 탑</t>
  </si>
  <si>
    <t>톤쇼우대구</t>
  </si>
  <si>
    <t>주식회사디카르</t>
  </si>
  <si>
    <t>커피빈 삼성봉은사거리점</t>
  </si>
  <si>
    <t>문어의 꿈</t>
  </si>
  <si>
    <t>환급보증료</t>
  </si>
  <si>
    <t>1320601912067</t>
  </si>
  <si>
    <t>이진뷰티</t>
  </si>
  <si>
    <t>세탁</t>
  </si>
  <si>
    <t>크린토피아 대방대림쇼핑상가점</t>
  </si>
  <si>
    <t>대신박상웅</t>
  </si>
  <si>
    <t>카페 엘 마르코 (</t>
  </si>
  <si>
    <t>유한회사우리환경**</t>
  </si>
  <si>
    <t>대신기업(주) 삼국유사군위지점</t>
  </si>
  <si>
    <t>강*완</t>
  </si>
  <si>
    <t>한전(강희**</t>
  </si>
  <si>
    <t>yk빌육근식</t>
  </si>
  <si>
    <t>스펀지마트</t>
  </si>
  <si>
    <t>부막숯불닭갈비 부산대점</t>
  </si>
  <si>
    <t>하삼동커피 장전점</t>
  </si>
  <si>
    <t>뒷통구이</t>
  </si>
  <si>
    <t>씨유 구서제일점</t>
  </si>
  <si>
    <t>탑플러스마트</t>
  </si>
  <si>
    <t>베스킨라빈스 부산대역점</t>
  </si>
  <si>
    <t>소소PLAY 부산대점</t>
  </si>
  <si>
    <t>비밀정원부산대점</t>
  </si>
  <si>
    <t>폰케이스#</t>
  </si>
  <si>
    <t>나이스페이먼츠 주식회사</t>
  </si>
  <si>
    <t>버거킹 부산구서S점</t>
  </si>
  <si>
    <t>설봉돼지국밥</t>
  </si>
  <si>
    <t>컴포즈커피 산성터널점</t>
  </si>
  <si>
    <t>밀당</t>
  </si>
  <si>
    <t>적금14001(24)</t>
  </si>
  <si>
    <t>맥도날드서울역점</t>
  </si>
  <si>
    <t>OPENAI</t>
  </si>
  <si>
    <t>롯데(영등포역사)</t>
  </si>
  <si>
    <t>이니시스(일반)</t>
  </si>
  <si>
    <t>송금 수취 내역</t>
  </si>
  <si>
    <t>정*운</t>
  </si>
  <si>
    <t>07월카드사용알림서비스이용료</t>
  </si>
  <si>
    <t>박*석</t>
  </si>
  <si>
    <t>육근식</t>
  </si>
  <si>
    <t>오팔구</t>
  </si>
  <si>
    <t>현대옥중화산점(직영점본점)</t>
  </si>
  <si>
    <t>마이비(부산지하철)</t>
  </si>
  <si>
    <t>민속주점</t>
  </si>
  <si>
    <t>지에스25 전주막걸리로점</t>
  </si>
  <si>
    <t>요리주점</t>
  </si>
  <si>
    <t>옛촌 삼천점</t>
  </si>
  <si>
    <t>홈플러스 전주효자점</t>
  </si>
  <si>
    <t>우림개발(주)오산휴</t>
  </si>
  <si>
    <t>왓더버거 부산역점</t>
  </si>
  <si>
    <t>해인약국</t>
  </si>
  <si>
    <t>하삼동커피 장전동</t>
  </si>
  <si>
    <t>버터 레코드</t>
  </si>
  <si>
    <t>오늘헤어 부산대점</t>
  </si>
  <si>
    <t>마징가아이스크림 장전점</t>
  </si>
  <si>
    <t>텐퍼센트커피 장전점</t>
  </si>
  <si>
    <t>명륜진사갈비 구서점</t>
  </si>
  <si>
    <t>컴포즈(산성터널점)</t>
  </si>
  <si>
    <t>하이오커피 장전역점</t>
  </si>
  <si>
    <t>금정농협장전지소</t>
  </si>
  <si>
    <t>태경비케이 서산(하)휴게소 탐앤탐스</t>
  </si>
  <si>
    <t>적금14001(23)</t>
  </si>
  <si>
    <t>동춘해물마을</t>
  </si>
  <si>
    <t>프렌즈 체크카드 캐시백</t>
  </si>
  <si>
    <t>김*균</t>
  </si>
  <si>
    <t>치킨</t>
  </si>
  <si>
    <t>푸라닭 노량진점</t>
  </si>
  <si>
    <t>건강박**</t>
  </si>
  <si>
    <t>연춘</t>
  </si>
  <si>
    <t>모구모구과자점 인</t>
  </si>
  <si>
    <t>06월카드사용알림서비스이용료</t>
  </si>
  <si>
    <t>06월서울버스1건</t>
  </si>
  <si>
    <t>기업박상웅</t>
  </si>
  <si>
    <t>업투프리미엄대방역 주식회사</t>
  </si>
  <si>
    <t>농업회사법인 주식회사 명품</t>
  </si>
  <si>
    <t>주식회사영암마트용두점</t>
  </si>
  <si>
    <t>카페쿠잉</t>
  </si>
  <si>
    <t>조현빈(핏**</t>
  </si>
  <si>
    <t>바나프레소 서초점</t>
  </si>
  <si>
    <t>버거킹 교대역점</t>
  </si>
  <si>
    <t>화오뎅떡볶이</t>
  </si>
  <si>
    <t>적금14001(22)</t>
  </si>
  <si>
    <t>고망고 부산사직점</t>
  </si>
  <si>
    <t>마이비(부산버스)</t>
  </si>
  <si>
    <t>송스베이커리(카페)</t>
  </si>
  <si>
    <t>제주대패</t>
  </si>
  <si>
    <t>더크로와상 구서장전</t>
  </si>
  <si>
    <t>해바라기 축산</t>
  </si>
  <si>
    <t>처갓집양념치킨 대방점</t>
  </si>
  <si>
    <t>메가박스_문화비_4-메가박스 부산대점</t>
  </si>
  <si>
    <t>스파오 부산대역점</t>
  </si>
  <si>
    <t>메가박스 부산대점</t>
  </si>
  <si>
    <t>레드존</t>
  </si>
  <si>
    <t>텐퍼센트 부산대점</t>
  </si>
  <si>
    <t>부산대우쭈쭈</t>
  </si>
  <si>
    <t>메가박스_문화비_4</t>
  </si>
  <si>
    <t>05월카드사용알림서비스이용료</t>
  </si>
  <si>
    <t>파리바게뜨 장전점</t>
  </si>
  <si>
    <t>주식회사 스토브페이</t>
  </si>
  <si>
    <t>조아조아뽑기샵</t>
  </si>
  <si>
    <t>이마트 금정점</t>
  </si>
  <si>
    <t>뽀바뽀바</t>
  </si>
  <si>
    <t>공영주차장</t>
  </si>
  <si>
    <t>까치네</t>
  </si>
  <si>
    <t>물고기</t>
  </si>
  <si>
    <t>지에스25(GS25) 부산대중앙점</t>
  </si>
  <si>
    <t>파리바게뜨 구서역</t>
  </si>
  <si>
    <t>빈스에스프레소</t>
  </si>
  <si>
    <t>이마트24부대북문점</t>
  </si>
  <si>
    <t>예금해지</t>
  </si>
  <si>
    <t>적금14001(21)</t>
  </si>
  <si>
    <t>금정농협장전동지점</t>
  </si>
  <si>
    <t>KT통신요금 자동납부</t>
  </si>
  <si>
    <t>우아한형제들</t>
  </si>
  <si>
    <t>일생상회</t>
  </si>
  <si>
    <t>던킨 부산구서점</t>
  </si>
  <si>
    <t>(주)넥슨코리아</t>
  </si>
  <si>
    <t>장미림</t>
  </si>
  <si>
    <t>뚜레쥬르 부산대학교점</t>
  </si>
  <si>
    <t>지에스(GS)25 부대북문점</t>
  </si>
  <si>
    <t>팔각도 부산구서점</t>
  </si>
  <si>
    <t>이랜드리테일 부산대점</t>
  </si>
  <si>
    <t>(주)우아한형제들</t>
  </si>
  <si>
    <t>04월카드사용알림서비스이용료</t>
  </si>
  <si>
    <t>배*민</t>
  </si>
  <si>
    <t>지에스(GS)25 신길파크자이</t>
  </si>
  <si>
    <t>지에스25(GS25) 관악성진점</t>
  </si>
  <si>
    <t>(주)이마트여의도점</t>
  </si>
  <si>
    <t>코레일유통주식회사(부산역)</t>
  </si>
  <si>
    <t>던킨 서면역점</t>
  </si>
  <si>
    <t>구름산추어탕</t>
  </si>
  <si>
    <t>복합천돼지국밥해운대</t>
  </si>
  <si>
    <t>가마치통닭 장전역점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</si>
</sst>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170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7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7">
      <c r="B6" s="4" t="s">
        <v>7</v>
      </c>
      <c r="C6" s="5" t="s">
        <v>8</v>
      </c>
      <c r="D6" s="5">
        <v>32</v>
      </c>
      <c r="E6" s="5">
        <v>976</v>
      </c>
      <c r="F6" s="5" t="s">
        <v>9</v>
      </c>
      <c r="G6" s="5"/>
    </row>
    <row r="9" spans="2:17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>SUM(E12:Q12)</f>
        <v>0</v>
      </c>
      <c r="D12" s="10">
        <f>C12/13</f>
        <v>0</v>
      </c>
      <c r="E12" s="10">
        <v>6</v>
      </c>
      <c r="F12" s="10">
        <v>132</v>
      </c>
      <c r="G12" s="10">
        <v>858</v>
      </c>
      <c r="H12" s="10">
        <v>33</v>
      </c>
      <c r="I12" s="10">
        <v>9</v>
      </c>
      <c r="J12" s="10">
        <v>2426</v>
      </c>
      <c r="K12" s="10">
        <v>6</v>
      </c>
      <c r="L12" s="10">
        <v>5</v>
      </c>
      <c r="M12" s="10">
        <v>908</v>
      </c>
      <c r="N12" s="10">
        <v>2</v>
      </c>
      <c r="O12" s="10">
        <v>1</v>
      </c>
      <c r="P12" s="10">
        <v>1455</v>
      </c>
      <c r="Q12" s="10">
        <v>0</v>
      </c>
    </row>
    <row r="13" spans="2:17">
      <c r="B13" s="9" t="s">
        <v>29</v>
      </c>
      <c r="C13" s="10">
        <f>SUM(E13:Q13)</f>
        <v>0</v>
      </c>
      <c r="D13" s="10">
        <f>C13/13</f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3157600</v>
      </c>
      <c r="K13" s="10">
        <v>3128900</v>
      </c>
      <c r="L13" s="10">
        <v>3157600</v>
      </c>
      <c r="M13" s="10">
        <v>3157600</v>
      </c>
      <c r="N13" s="10">
        <v>3150230</v>
      </c>
      <c r="O13" s="10">
        <v>3600590</v>
      </c>
      <c r="P13" s="10">
        <v>3222063</v>
      </c>
      <c r="Q13" s="10">
        <v>1</v>
      </c>
    </row>
    <row r="14" spans="2:17">
      <c r="B14" s="9" t="s">
        <v>30</v>
      </c>
      <c r="C14" s="10">
        <f>SUM(E14:Q14)</f>
        <v>0</v>
      </c>
      <c r="D14" s="10">
        <f>C14/13</f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456000</v>
      </c>
      <c r="N14" s="10">
        <v>0</v>
      </c>
      <c r="O14" s="10">
        <v>0</v>
      </c>
      <c r="P14" s="10">
        <v>0</v>
      </c>
      <c r="Q14" s="10">
        <v>0</v>
      </c>
    </row>
    <row r="15" spans="2:17">
      <c r="B15" s="11" t="s">
        <v>31</v>
      </c>
      <c r="C15" s="12">
        <f>SUM(E15:Q15)</f>
        <v>0</v>
      </c>
      <c r="D15" s="12">
        <f>C15/13</f>
        <v>0</v>
      </c>
      <c r="E15" s="12">
        <f>SUM(E12:E14)</f>
        <v>0</v>
      </c>
      <c r="F15" s="12">
        <f>SUM(F12:F14)</f>
        <v>0</v>
      </c>
      <c r="G15" s="12">
        <f>SUM(G12:G14)</f>
        <v>0</v>
      </c>
      <c r="H15" s="12">
        <f>SUM(H12:H14)</f>
        <v>0</v>
      </c>
      <c r="I15" s="12">
        <f>SUM(I12:I14)</f>
        <v>0</v>
      </c>
      <c r="J15" s="12">
        <f>SUM(J12:J14)</f>
        <v>0</v>
      </c>
      <c r="K15" s="12">
        <f>SUM(K12:K14)</f>
        <v>0</v>
      </c>
      <c r="L15" s="12">
        <f>SUM(L12:L14)</f>
        <v>0</v>
      </c>
      <c r="M15" s="12">
        <f>SUM(M12:M14)</f>
        <v>0</v>
      </c>
      <c r="N15" s="12">
        <f>SUM(N12:N14)</f>
        <v>0</v>
      </c>
      <c r="O15" s="12">
        <f>SUM(O12:O14)</f>
        <v>0</v>
      </c>
      <c r="P15" s="12">
        <f>SUM(P12:P14)</f>
        <v>0</v>
      </c>
      <c r="Q15" s="12">
        <f>SUM(Q12:Q14)</f>
        <v>0</v>
      </c>
    </row>
    <row r="16" spans="2:17">
      <c r="B16" s="9" t="s">
        <v>32</v>
      </c>
      <c r="C16" s="10">
        <f>SUM(E16:Q16)</f>
        <v>0</v>
      </c>
      <c r="D16" s="10">
        <f>C16/13</f>
        <v>0</v>
      </c>
      <c r="E16" s="10">
        <v>0</v>
      </c>
      <c r="F16" s="10">
        <v>0</v>
      </c>
      <c r="G16" s="10">
        <v>0</v>
      </c>
      <c r="H16" s="10">
        <v>2000</v>
      </c>
      <c r="I16" s="10">
        <v>23900</v>
      </c>
      <c r="J16" s="10">
        <v>0</v>
      </c>
      <c r="K16" s="10">
        <v>0</v>
      </c>
      <c r="L16" s="10">
        <v>0</v>
      </c>
      <c r="M16" s="10">
        <v>30500</v>
      </c>
      <c r="N16" s="10">
        <v>0</v>
      </c>
      <c r="O16" s="10">
        <v>0</v>
      </c>
      <c r="P16" s="10">
        <v>0</v>
      </c>
      <c r="Q16" s="10">
        <v>0</v>
      </c>
    </row>
    <row r="17" spans="2:17">
      <c r="B17" s="9" t="s">
        <v>33</v>
      </c>
      <c r="C17" s="10">
        <f>SUM(E17:Q17)</f>
        <v>0</v>
      </c>
      <c r="D17" s="10">
        <f>C17/13</f>
        <v>0</v>
      </c>
      <c r="E17" s="10">
        <v>23400</v>
      </c>
      <c r="F17" s="10">
        <v>11200</v>
      </c>
      <c r="G17" s="10">
        <v>132850</v>
      </c>
      <c r="H17" s="10">
        <v>214200</v>
      </c>
      <c r="I17" s="10">
        <v>220800</v>
      </c>
      <c r="J17" s="10">
        <v>468600</v>
      </c>
      <c r="K17" s="10">
        <v>112750</v>
      </c>
      <c r="L17" s="10">
        <v>388600</v>
      </c>
      <c r="M17" s="10">
        <v>217400</v>
      </c>
      <c r="N17" s="10">
        <v>135400</v>
      </c>
      <c r="O17" s="10">
        <v>8150</v>
      </c>
      <c r="P17" s="10">
        <v>161650</v>
      </c>
      <c r="Q17" s="10">
        <v>41700</v>
      </c>
    </row>
    <row r="18" spans="2:17">
      <c r="B18" s="9" t="s">
        <v>34</v>
      </c>
      <c r="C18" s="10">
        <f>SUM(E18:Q18)</f>
        <v>0</v>
      </c>
      <c r="D18" s="10">
        <f>C18/13</f>
        <v>0</v>
      </c>
      <c r="E18" s="10">
        <v>130290</v>
      </c>
      <c r="F18" s="10">
        <v>12260</v>
      </c>
      <c r="G18" s="10">
        <v>200</v>
      </c>
      <c r="H18" s="10">
        <v>101090</v>
      </c>
      <c r="I18" s="10">
        <v>63180</v>
      </c>
      <c r="J18" s="10">
        <v>434381</v>
      </c>
      <c r="K18" s="10">
        <v>90219</v>
      </c>
      <c r="L18" s="10">
        <v>103200</v>
      </c>
      <c r="M18" s="10">
        <v>215270</v>
      </c>
      <c r="N18" s="10">
        <v>80935</v>
      </c>
      <c r="O18" s="10">
        <v>551100</v>
      </c>
      <c r="P18" s="10">
        <v>410504</v>
      </c>
      <c r="Q18" s="10">
        <v>946780</v>
      </c>
    </row>
    <row r="19" spans="2:17">
      <c r="B19" s="9" t="s">
        <v>35</v>
      </c>
      <c r="C19" s="10">
        <f>SUM(E19:Q19)</f>
        <v>0</v>
      </c>
      <c r="D19" s="10">
        <f>C19/13</f>
        <v>0</v>
      </c>
      <c r="E19" s="10">
        <v>49000</v>
      </c>
      <c r="F19" s="10">
        <v>83470</v>
      </c>
      <c r="G19" s="10">
        <v>52320</v>
      </c>
      <c r="H19" s="10">
        <v>18000</v>
      </c>
      <c r="I19" s="10">
        <v>57731</v>
      </c>
      <c r="J19" s="10">
        <v>96350</v>
      </c>
      <c r="K19" s="10">
        <v>230080</v>
      </c>
      <c r="L19" s="10">
        <v>73620</v>
      </c>
      <c r="M19" s="10">
        <v>57180</v>
      </c>
      <c r="N19" s="10">
        <v>33400</v>
      </c>
      <c r="O19" s="10">
        <v>94600</v>
      </c>
      <c r="P19" s="10">
        <v>279900</v>
      </c>
      <c r="Q19" s="10">
        <v>226400</v>
      </c>
    </row>
    <row r="20" spans="2:17">
      <c r="B20" s="9" t="s">
        <v>36</v>
      </c>
      <c r="C20" s="10">
        <f>SUM(E20:Q20)</f>
        <v>0</v>
      </c>
      <c r="D20" s="10">
        <f>C20/13</f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13900</v>
      </c>
      <c r="Q20" s="10">
        <v>0</v>
      </c>
    </row>
    <row r="21" spans="2:17">
      <c r="B21" s="9" t="s">
        <v>37</v>
      </c>
      <c r="C21" s="10">
        <f>SUM(E21:Q21)</f>
        <v>0</v>
      </c>
      <c r="D21" s="10">
        <f>C21/13</f>
        <v>0</v>
      </c>
      <c r="E21" s="10">
        <v>0</v>
      </c>
      <c r="F21" s="10">
        <v>22000</v>
      </c>
      <c r="G21" s="10">
        <v>30000</v>
      </c>
      <c r="H21" s="10">
        <v>22000</v>
      </c>
      <c r="I21" s="10">
        <v>53000</v>
      </c>
      <c r="J21" s="10">
        <v>0</v>
      </c>
      <c r="K21" s="10">
        <v>19800</v>
      </c>
      <c r="L21" s="10">
        <v>0</v>
      </c>
      <c r="M21" s="10">
        <v>0</v>
      </c>
      <c r="N21" s="10">
        <v>0</v>
      </c>
      <c r="O21" s="10">
        <v>175000</v>
      </c>
      <c r="P21" s="10">
        <v>0</v>
      </c>
      <c r="Q21" s="10">
        <v>600</v>
      </c>
    </row>
    <row r="22" spans="2:17">
      <c r="B22" s="9" t="s">
        <v>38</v>
      </c>
      <c r="C22" s="10">
        <f>SUM(E22:Q22)</f>
        <v>0</v>
      </c>
      <c r="D22" s="10">
        <f>C22/13</f>
        <v>0</v>
      </c>
      <c r="E22" s="10">
        <v>87280</v>
      </c>
      <c r="F22" s="10">
        <v>305200</v>
      </c>
      <c r="G22" s="10">
        <v>127960</v>
      </c>
      <c r="H22" s="10">
        <v>152170</v>
      </c>
      <c r="I22" s="10">
        <v>91140</v>
      </c>
      <c r="J22" s="10">
        <v>112800</v>
      </c>
      <c r="K22" s="10">
        <v>179190</v>
      </c>
      <c r="L22" s="10">
        <v>122580</v>
      </c>
      <c r="M22" s="10">
        <v>65300</v>
      </c>
      <c r="N22" s="10">
        <v>188100</v>
      </c>
      <c r="O22" s="10">
        <v>98120</v>
      </c>
      <c r="P22" s="10">
        <v>165300</v>
      </c>
      <c r="Q22" s="10">
        <v>222100</v>
      </c>
    </row>
    <row r="23" spans="2:17">
      <c r="B23" s="9" t="s">
        <v>39</v>
      </c>
      <c r="C23" s="10">
        <f>SUM(E23:Q23)</f>
        <v>0</v>
      </c>
      <c r="D23" s="10">
        <f>C23/13</f>
        <v>0</v>
      </c>
      <c r="E23" s="10">
        <v>0</v>
      </c>
      <c r="F23" s="10">
        <v>0</v>
      </c>
      <c r="G23" s="10">
        <v>32800</v>
      </c>
      <c r="H23" s="10">
        <v>162500</v>
      </c>
      <c r="I23" s="10">
        <v>0</v>
      </c>
      <c r="J23" s="10">
        <v>0</v>
      </c>
      <c r="K23" s="10">
        <v>0</v>
      </c>
      <c r="L23" s="10">
        <v>67000</v>
      </c>
      <c r="M23" s="10">
        <v>0</v>
      </c>
      <c r="N23" s="10">
        <v>0</v>
      </c>
      <c r="O23" s="10">
        <v>86500</v>
      </c>
      <c r="P23" s="10">
        <v>0</v>
      </c>
      <c r="Q23" s="10">
        <v>0</v>
      </c>
    </row>
    <row r="24" spans="2:17">
      <c r="B24" s="9" t="s">
        <v>40</v>
      </c>
      <c r="C24" s="10">
        <f>SUM(E24:Q24)</f>
        <v>0</v>
      </c>
      <c r="D24" s="10">
        <f>C24/13</f>
        <v>0</v>
      </c>
      <c r="E24" s="10">
        <v>243200</v>
      </c>
      <c r="F24" s="10">
        <v>729400</v>
      </c>
      <c r="G24" s="10">
        <v>348105</v>
      </c>
      <c r="H24" s="10">
        <v>568000</v>
      </c>
      <c r="I24" s="10">
        <v>336600</v>
      </c>
      <c r="J24" s="10">
        <v>622855</v>
      </c>
      <c r="K24" s="10">
        <v>378450</v>
      </c>
      <c r="L24" s="10">
        <v>403900</v>
      </c>
      <c r="M24" s="10">
        <v>338300</v>
      </c>
      <c r="N24" s="10">
        <v>479730</v>
      </c>
      <c r="O24" s="10">
        <v>316100</v>
      </c>
      <c r="P24" s="10">
        <v>884190</v>
      </c>
      <c r="Q24" s="10">
        <v>224700</v>
      </c>
    </row>
    <row r="25" spans="2:17">
      <c r="B25" s="9" t="s">
        <v>41</v>
      </c>
      <c r="C25" s="10">
        <f>SUM(E25:Q25)</f>
        <v>0</v>
      </c>
      <c r="D25" s="10">
        <f>C25/13</f>
        <v>0</v>
      </c>
      <c r="E25" s="10">
        <v>0</v>
      </c>
      <c r="F25" s="10">
        <v>0</v>
      </c>
      <c r="G25" s="10">
        <v>0</v>
      </c>
      <c r="H25" s="10">
        <v>0</v>
      </c>
      <c r="I25" s="10">
        <v>55400</v>
      </c>
      <c r="J25" s="10">
        <v>643200</v>
      </c>
      <c r="K25" s="10">
        <v>81927</v>
      </c>
      <c r="L25" s="10">
        <v>223260</v>
      </c>
      <c r="M25" s="10">
        <v>181660</v>
      </c>
      <c r="N25" s="10">
        <v>0</v>
      </c>
      <c r="O25" s="10">
        <v>0</v>
      </c>
      <c r="P25" s="10">
        <v>1236646</v>
      </c>
      <c r="Q25" s="10">
        <v>174546</v>
      </c>
    </row>
    <row r="26" spans="2:17">
      <c r="B26" s="9" t="s">
        <v>42</v>
      </c>
      <c r="C26" s="10">
        <f>SUM(E26:Q26)</f>
        <v>0</v>
      </c>
      <c r="D26" s="10">
        <f>C26/13</f>
        <v>0</v>
      </c>
      <c r="E26" s="10">
        <v>196095</v>
      </c>
      <c r="F26" s="10">
        <v>316687</v>
      </c>
      <c r="G26" s="10">
        <v>537397</v>
      </c>
      <c r="H26" s="10">
        <v>587752</v>
      </c>
      <c r="I26" s="10">
        <v>1332013</v>
      </c>
      <c r="J26" s="10">
        <v>1183418</v>
      </c>
      <c r="K26" s="10">
        <v>446011</v>
      </c>
      <c r="L26" s="10">
        <v>587482</v>
      </c>
      <c r="M26" s="10">
        <v>139820</v>
      </c>
      <c r="N26" s="10">
        <v>644849</v>
      </c>
      <c r="O26" s="10">
        <v>547573</v>
      </c>
      <c r="P26" s="10">
        <v>390740</v>
      </c>
      <c r="Q26" s="10">
        <v>308597</v>
      </c>
    </row>
    <row r="27" spans="2:17">
      <c r="B27" s="9" t="s">
        <v>43</v>
      </c>
      <c r="C27" s="10">
        <f>SUM(E27:Q27)</f>
        <v>0</v>
      </c>
      <c r="D27" s="10">
        <f>C27/13</f>
        <v>0</v>
      </c>
      <c r="E27" s="10">
        <v>0</v>
      </c>
      <c r="F27" s="10">
        <v>6000</v>
      </c>
      <c r="G27" s="10">
        <v>31000</v>
      </c>
      <c r="H27" s="10">
        <v>38500</v>
      </c>
      <c r="I27" s="10">
        <v>0</v>
      </c>
      <c r="J27" s="10">
        <v>429000</v>
      </c>
      <c r="K27" s="10">
        <v>0</v>
      </c>
      <c r="L27" s="10">
        <v>6000</v>
      </c>
      <c r="M27" s="10">
        <v>402000</v>
      </c>
      <c r="N27" s="10">
        <v>49400</v>
      </c>
      <c r="O27" s="10">
        <v>78000</v>
      </c>
      <c r="P27" s="10">
        <v>77033</v>
      </c>
      <c r="Q27" s="10">
        <v>89333</v>
      </c>
    </row>
    <row r="28" spans="2:17">
      <c r="B28" s="9" t="s">
        <v>44</v>
      </c>
      <c r="C28" s="10">
        <f>SUM(E28:Q28)</f>
        <v>0</v>
      </c>
      <c r="D28" s="10">
        <f>C28/13</f>
        <v>0</v>
      </c>
      <c r="E28" s="10">
        <v>0</v>
      </c>
      <c r="F28" s="10">
        <v>1400</v>
      </c>
      <c r="G28" s="10">
        <v>0</v>
      </c>
      <c r="H28" s="10">
        <v>5000</v>
      </c>
      <c r="I28" s="10">
        <v>0</v>
      </c>
      <c r="J28" s="10">
        <v>1400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</row>
    <row r="29" spans="2:17">
      <c r="B29" s="9" t="s">
        <v>45</v>
      </c>
      <c r="C29" s="10">
        <f>SUM(E29:Q29)</f>
        <v>0</v>
      </c>
      <c r="D29" s="10">
        <f>C29/13</f>
        <v>0</v>
      </c>
      <c r="E29" s="10">
        <v>100270</v>
      </c>
      <c r="F29" s="10">
        <v>177540</v>
      </c>
      <c r="G29" s="10">
        <v>147460</v>
      </c>
      <c r="H29" s="10">
        <v>133380</v>
      </c>
      <c r="I29" s="10">
        <v>70118990</v>
      </c>
      <c r="J29" s="10">
        <v>136580</v>
      </c>
      <c r="K29" s="10">
        <v>25080</v>
      </c>
      <c r="L29" s="10">
        <v>25080</v>
      </c>
      <c r="M29" s="10">
        <v>36080</v>
      </c>
      <c r="N29" s="10">
        <v>34270</v>
      </c>
      <c r="O29" s="10">
        <v>42900</v>
      </c>
      <c r="P29" s="10">
        <v>53900</v>
      </c>
      <c r="Q29" s="10">
        <v>42900</v>
      </c>
    </row>
    <row r="30" spans="2:17">
      <c r="B30" s="9" t="s">
        <v>46</v>
      </c>
      <c r="C30" s="10">
        <f>SUM(E30:Q30)</f>
        <v>0</v>
      </c>
      <c r="D30" s="10">
        <f>C30/13</f>
        <v>0</v>
      </c>
      <c r="E30" s="10">
        <v>10700</v>
      </c>
      <c r="F30" s="10">
        <v>75800</v>
      </c>
      <c r="G30" s="10">
        <v>71000</v>
      </c>
      <c r="H30" s="10">
        <v>103900</v>
      </c>
      <c r="I30" s="10">
        <v>87900</v>
      </c>
      <c r="J30" s="10">
        <v>258650</v>
      </c>
      <c r="K30" s="10">
        <v>178800</v>
      </c>
      <c r="L30" s="10">
        <v>119200</v>
      </c>
      <c r="M30" s="10">
        <v>143450</v>
      </c>
      <c r="N30" s="10">
        <v>137900</v>
      </c>
      <c r="O30" s="10">
        <v>278500</v>
      </c>
      <c r="P30" s="10">
        <v>162200</v>
      </c>
      <c r="Q30" s="10">
        <v>64000</v>
      </c>
    </row>
    <row r="31" spans="2:17">
      <c r="B31" s="9" t="s">
        <v>47</v>
      </c>
      <c r="C31" s="10">
        <f>SUM(E31:Q31)</f>
        <v>0</v>
      </c>
      <c r="D31" s="10">
        <f>C31/13</f>
        <v>0</v>
      </c>
      <c r="E31" s="10">
        <v>0</v>
      </c>
      <c r="F31" s="10">
        <v>0</v>
      </c>
      <c r="G31" s="10">
        <v>51900</v>
      </c>
      <c r="H31" s="10">
        <v>0</v>
      </c>
      <c r="I31" s="10">
        <v>89400</v>
      </c>
      <c r="J31" s="10">
        <v>19900</v>
      </c>
      <c r="K31" s="10">
        <v>3800</v>
      </c>
      <c r="L31" s="10">
        <v>4500</v>
      </c>
      <c r="M31" s="10">
        <v>59000</v>
      </c>
      <c r="N31" s="10">
        <v>0</v>
      </c>
      <c r="O31" s="10">
        <v>112100</v>
      </c>
      <c r="P31" s="10">
        <v>1051380</v>
      </c>
      <c r="Q31" s="10">
        <v>43400</v>
      </c>
    </row>
    <row r="32" spans="2:17">
      <c r="B32" s="11" t="s">
        <v>48</v>
      </c>
      <c r="C32" s="12">
        <f>SUM(E32:Q32)</f>
        <v>0</v>
      </c>
      <c r="D32" s="12">
        <f>C32/13</f>
        <v>0</v>
      </c>
      <c r="E32" s="12">
        <f>SUM(E16:E31)</f>
        <v>0</v>
      </c>
      <c r="F32" s="12">
        <f>SUM(F16:F31)</f>
        <v>0</v>
      </c>
      <c r="G32" s="12">
        <f>SUM(G16:G31)</f>
        <v>0</v>
      </c>
      <c r="H32" s="12">
        <f>SUM(H16:H31)</f>
        <v>0</v>
      </c>
      <c r="I32" s="12">
        <f>SUM(I16:I31)</f>
        <v>0</v>
      </c>
      <c r="J32" s="12">
        <f>SUM(J16:J31)</f>
        <v>0</v>
      </c>
      <c r="K32" s="12">
        <f>SUM(K16:K31)</f>
        <v>0</v>
      </c>
      <c r="L32" s="12">
        <f>SUM(L16:L31)</f>
        <v>0</v>
      </c>
      <c r="M32" s="12">
        <f>SUM(M16:M31)</f>
        <v>0</v>
      </c>
      <c r="N32" s="12">
        <f>SUM(N16:N31)</f>
        <v>0</v>
      </c>
      <c r="O32" s="12">
        <f>SUM(O16:O31)</f>
        <v>0</v>
      </c>
      <c r="P32" s="12">
        <f>SUM(P16:P31)</f>
        <v>0</v>
      </c>
      <c r="Q32" s="12">
        <f>SUM(Q16:Q31)</f>
        <v>0</v>
      </c>
    </row>
    <row r="33" spans="2:17">
      <c r="B33" s="13" t="s">
        <v>49</v>
      </c>
      <c r="C33" s="14">
        <f>SUM(E33:Q33)</f>
        <v>0</v>
      </c>
      <c r="D33" s="14">
        <f>C33/13</f>
        <v>0</v>
      </c>
      <c r="E33" s="14">
        <f>E15-E32</f>
        <v>0</v>
      </c>
      <c r="F33" s="14">
        <f>F15-F32</f>
        <v>0</v>
      </c>
      <c r="G33" s="14">
        <f>G15-G32</f>
        <v>0</v>
      </c>
      <c r="H33" s="14">
        <f>H15-H32</f>
        <v>0</v>
      </c>
      <c r="I33" s="14">
        <f>I15-I32</f>
        <v>0</v>
      </c>
      <c r="J33" s="14">
        <f>J15-J32</f>
        <v>0</v>
      </c>
      <c r="K33" s="14">
        <f>K15-K32</f>
        <v>0</v>
      </c>
      <c r="L33" s="14">
        <f>L15-L32</f>
        <v>0</v>
      </c>
      <c r="M33" s="14">
        <f>M15-M32</f>
        <v>0</v>
      </c>
      <c r="N33" s="14">
        <f>N15-N32</f>
        <v>0</v>
      </c>
      <c r="O33" s="14">
        <f>O15-O32</f>
        <v>0</v>
      </c>
      <c r="P33" s="14">
        <f>P15-P32</f>
        <v>0</v>
      </c>
      <c r="Q33" s="14">
        <f>Q15-Q32</f>
        <v>0</v>
      </c>
    </row>
    <row r="36" spans="2:17">
      <c r="B36" s="1" t="s">
        <v>50</v>
      </c>
    </row>
    <row r="37" spans="2:17">
      <c r="B37" t="s">
        <v>51</v>
      </c>
    </row>
    <row r="38" spans="2:17">
      <c r="B38" s="15" t="s">
        <v>52</v>
      </c>
      <c r="C38" s="15"/>
      <c r="D38" s="15"/>
      <c r="E38" s="15"/>
      <c r="F38" s="16" t="s">
        <v>53</v>
      </c>
      <c r="G38" s="16"/>
      <c r="H38" s="16"/>
      <c r="I38" s="16"/>
    </row>
    <row r="39" spans="2:17">
      <c r="B39" s="17" t="s">
        <v>12</v>
      </c>
      <c r="C39" s="18" t="s">
        <v>54</v>
      </c>
      <c r="D39" s="18"/>
      <c r="E39" s="18" t="s">
        <v>55</v>
      </c>
      <c r="F39" s="18" t="s">
        <v>12</v>
      </c>
      <c r="G39" s="18" t="s">
        <v>54</v>
      </c>
      <c r="H39" s="18"/>
      <c r="I39" s="18" t="s">
        <v>55</v>
      </c>
    </row>
    <row r="40" spans="2:17">
      <c r="B40" s="19" t="s">
        <v>56</v>
      </c>
      <c r="C40" s="20" t="s">
        <v>57</v>
      </c>
      <c r="D40" s="20"/>
      <c r="E40" s="21">
        <v>20</v>
      </c>
      <c r="F40" s="22" t="s">
        <v>113</v>
      </c>
      <c r="G40" s="20"/>
      <c r="H40" s="20"/>
      <c r="I40" s="23"/>
    </row>
    <row r="41" spans="2:17">
      <c r="B41" s="19"/>
      <c r="C41" s="20" t="s">
        <v>58</v>
      </c>
      <c r="D41" s="20"/>
      <c r="E41" s="21">
        <v>0</v>
      </c>
      <c r="F41" s="20"/>
      <c r="G41" s="20"/>
      <c r="H41" s="20"/>
      <c r="I41" s="24"/>
    </row>
    <row r="42" spans="2:17">
      <c r="B42" s="19"/>
      <c r="C42" s="20" t="s">
        <v>59</v>
      </c>
      <c r="D42" s="20"/>
      <c r="E42" s="21">
        <v>8295</v>
      </c>
      <c r="F42" s="20"/>
      <c r="G42" s="20"/>
      <c r="H42" s="20"/>
      <c r="I42" s="24"/>
    </row>
    <row r="43" spans="2:17">
      <c r="B43" s="19"/>
      <c r="C43" s="20" t="s">
        <v>60</v>
      </c>
      <c r="D43" s="20"/>
      <c r="E43" s="21">
        <v>1</v>
      </c>
      <c r="F43" s="20"/>
      <c r="G43" s="20"/>
      <c r="H43" s="20"/>
      <c r="I43" s="24"/>
    </row>
    <row r="44" spans="2:17">
      <c r="B44" s="19"/>
      <c r="C44" s="20" t="s">
        <v>60</v>
      </c>
      <c r="D44" s="20"/>
      <c r="E44" s="21">
        <v>0</v>
      </c>
      <c r="F44" s="20"/>
      <c r="G44" s="20"/>
      <c r="H44" s="20"/>
      <c r="I44" s="24"/>
    </row>
    <row r="45" spans="2:17">
      <c r="B45" s="19"/>
      <c r="C45" s="20" t="s">
        <v>61</v>
      </c>
      <c r="D45" s="20"/>
      <c r="E45" s="21">
        <v>5115351</v>
      </c>
      <c r="F45" s="20"/>
      <c r="G45" s="20"/>
      <c r="H45" s="20"/>
      <c r="I45" s="24"/>
    </row>
    <row r="46" spans="2:17">
      <c r="B46" s="19"/>
      <c r="C46" s="20" t="s">
        <v>62</v>
      </c>
      <c r="D46" s="20"/>
      <c r="E46" s="21">
        <v>10406</v>
      </c>
      <c r="F46" s="20"/>
      <c r="G46" s="20"/>
      <c r="H46" s="20"/>
      <c r="I46" s="24"/>
    </row>
    <row r="47" spans="2:17">
      <c r="B47" s="19" t="s">
        <v>63</v>
      </c>
      <c r="C47" s="20"/>
      <c r="D47" s="20"/>
      <c r="E47" s="21"/>
      <c r="F47" s="20"/>
      <c r="G47" s="20"/>
      <c r="H47" s="20"/>
      <c r="I47" s="24"/>
    </row>
    <row r="48" spans="2:17">
      <c r="B48" s="19" t="s">
        <v>64</v>
      </c>
      <c r="C48" s="20" t="s">
        <v>65</v>
      </c>
      <c r="D48" s="20"/>
      <c r="E48" s="21">
        <v>0</v>
      </c>
      <c r="F48" s="20"/>
      <c r="G48" s="20"/>
      <c r="H48" s="20"/>
      <c r="I48" s="24"/>
    </row>
    <row r="49" spans="2:9">
      <c r="B49" s="19" t="s">
        <v>66</v>
      </c>
      <c r="C49" s="20" t="s">
        <v>67</v>
      </c>
      <c r="D49" s="20"/>
      <c r="E49" s="21">
        <v>22400000</v>
      </c>
      <c r="F49" s="20"/>
      <c r="G49" s="20"/>
      <c r="H49" s="20"/>
      <c r="I49" s="24"/>
    </row>
    <row r="50" spans="2:9">
      <c r="B50" s="19"/>
      <c r="C50" s="20" t="s">
        <v>68</v>
      </c>
      <c r="D50" s="20"/>
      <c r="E50" s="21">
        <v>6128976</v>
      </c>
      <c r="F50" s="20"/>
      <c r="G50" s="20"/>
      <c r="H50" s="20"/>
      <c r="I50" s="24"/>
    </row>
    <row r="51" spans="2:9">
      <c r="B51" s="19"/>
      <c r="C51" s="20" t="s">
        <v>69</v>
      </c>
      <c r="D51" s="20"/>
      <c r="E51" s="21">
        <v>3000000</v>
      </c>
      <c r="F51" s="20"/>
      <c r="G51" s="20"/>
      <c r="H51" s="20"/>
      <c r="I51" s="24"/>
    </row>
    <row r="52" spans="2:9">
      <c r="B52" s="19" t="s">
        <v>70</v>
      </c>
      <c r="C52" s="20" t="s">
        <v>71</v>
      </c>
      <c r="D52" s="20"/>
      <c r="E52" s="21">
        <v>0</v>
      </c>
      <c r="F52" s="20"/>
      <c r="G52" s="20"/>
      <c r="H52" s="20"/>
      <c r="I52" s="24"/>
    </row>
    <row r="53" spans="2:9">
      <c r="B53" s="19"/>
      <c r="C53" s="20" t="s">
        <v>72</v>
      </c>
      <c r="D53" s="20"/>
      <c r="E53" s="21">
        <v>0</v>
      </c>
      <c r="F53" s="20"/>
      <c r="G53" s="20"/>
      <c r="H53" s="20"/>
      <c r="I53" s="24"/>
    </row>
    <row r="54" spans="2:9">
      <c r="B54" s="19"/>
      <c r="C54" s="20" t="s">
        <v>73</v>
      </c>
      <c r="D54" s="20"/>
      <c r="E54" s="21">
        <v>5086</v>
      </c>
      <c r="F54" s="20"/>
      <c r="G54" s="20"/>
      <c r="H54" s="20"/>
      <c r="I54" s="24"/>
    </row>
    <row r="55" spans="2:9">
      <c r="B55" s="19" t="s">
        <v>74</v>
      </c>
      <c r="C55" s="20" t="s">
        <v>75</v>
      </c>
      <c r="D55" s="20"/>
      <c r="E55" s="21">
        <v>21892500</v>
      </c>
      <c r="F55" s="20"/>
      <c r="G55" s="20"/>
      <c r="H55" s="20"/>
      <c r="I55" s="24"/>
    </row>
    <row r="56" spans="2:9">
      <c r="B56" s="19"/>
      <c r="C56" s="20" t="s">
        <v>76</v>
      </c>
      <c r="D56" s="20"/>
      <c r="E56" s="21">
        <v>15120000</v>
      </c>
      <c r="F56" s="20"/>
      <c r="G56" s="20"/>
      <c r="H56" s="20"/>
      <c r="I56" s="24"/>
    </row>
    <row r="57" spans="2:9">
      <c r="B57" s="19"/>
      <c r="C57" s="20" t="s">
        <v>77</v>
      </c>
      <c r="D57" s="20"/>
      <c r="E57" s="21">
        <v>13916000</v>
      </c>
      <c r="F57" s="20"/>
      <c r="G57" s="20"/>
      <c r="H57" s="20"/>
      <c r="I57" s="24"/>
    </row>
    <row r="58" spans="2:9">
      <c r="B58" s="19"/>
      <c r="C58" s="20" t="s">
        <v>78</v>
      </c>
      <c r="D58" s="20"/>
      <c r="E58" s="21">
        <v>9020000</v>
      </c>
      <c r="F58" s="20"/>
      <c r="G58" s="20"/>
      <c r="H58" s="20"/>
      <c r="I58" s="24"/>
    </row>
    <row r="59" spans="2:9">
      <c r="B59" s="19"/>
      <c r="C59" s="20" t="s">
        <v>75</v>
      </c>
      <c r="D59" s="20"/>
      <c r="E59" s="21">
        <v>8340000</v>
      </c>
      <c r="F59" s="20"/>
      <c r="G59" s="20"/>
      <c r="H59" s="20"/>
      <c r="I59" s="24"/>
    </row>
    <row r="60" spans="2:9">
      <c r="B60" s="19"/>
      <c r="C60" s="20" t="s">
        <v>79</v>
      </c>
      <c r="D60" s="20"/>
      <c r="E60" s="21">
        <v>6952000</v>
      </c>
      <c r="F60" s="20"/>
      <c r="G60" s="20"/>
      <c r="H60" s="20"/>
      <c r="I60" s="24"/>
    </row>
    <row r="61" spans="2:9">
      <c r="B61" s="19"/>
      <c r="C61" s="20" t="s">
        <v>79</v>
      </c>
      <c r="D61" s="20"/>
      <c r="E61" s="21">
        <v>6320000</v>
      </c>
      <c r="F61" s="20"/>
      <c r="G61" s="20"/>
      <c r="H61" s="20"/>
      <c r="I61" s="24"/>
    </row>
    <row r="62" spans="2:9">
      <c r="B62" s="19"/>
      <c r="C62" s="20" t="s">
        <v>80</v>
      </c>
      <c r="D62" s="20"/>
      <c r="E62" s="21">
        <v>5990400</v>
      </c>
      <c r="F62" s="20"/>
      <c r="G62" s="20"/>
      <c r="H62" s="20"/>
      <c r="I62" s="24"/>
    </row>
    <row r="63" spans="2:9">
      <c r="B63" s="19"/>
      <c r="C63" s="20" t="s">
        <v>81</v>
      </c>
      <c r="D63" s="20"/>
      <c r="E63" s="21">
        <v>5775000</v>
      </c>
      <c r="F63" s="20"/>
      <c r="G63" s="20"/>
      <c r="H63" s="20"/>
      <c r="I63" s="24"/>
    </row>
    <row r="64" spans="2:9">
      <c r="B64" s="19"/>
      <c r="C64" s="20" t="s">
        <v>82</v>
      </c>
      <c r="D64" s="20"/>
      <c r="E64" s="21">
        <v>4740000</v>
      </c>
      <c r="F64" s="20"/>
      <c r="G64" s="20"/>
      <c r="H64" s="20"/>
      <c r="I64" s="24"/>
    </row>
    <row r="65" spans="2:9">
      <c r="B65" s="19"/>
      <c r="C65" s="20" t="s">
        <v>83</v>
      </c>
      <c r="D65" s="20"/>
      <c r="E65" s="21">
        <v>4330000</v>
      </c>
      <c r="F65" s="20"/>
      <c r="G65" s="20"/>
      <c r="H65" s="20"/>
      <c r="I65" s="24"/>
    </row>
    <row r="66" spans="2:9">
      <c r="B66" s="19"/>
      <c r="C66" s="20" t="s">
        <v>84</v>
      </c>
      <c r="D66" s="20"/>
      <c r="E66" s="21">
        <v>4297500</v>
      </c>
      <c r="F66" s="20"/>
      <c r="G66" s="20"/>
      <c r="H66" s="20"/>
      <c r="I66" s="24"/>
    </row>
    <row r="67" spans="2:9">
      <c r="B67" s="19"/>
      <c r="C67" s="20" t="s">
        <v>81</v>
      </c>
      <c r="D67" s="20"/>
      <c r="E67" s="21">
        <v>3850000</v>
      </c>
      <c r="F67" s="20"/>
      <c r="G67" s="20"/>
      <c r="H67" s="20"/>
      <c r="I67" s="24"/>
    </row>
    <row r="68" spans="2:9">
      <c r="B68" s="19"/>
      <c r="C68" s="20" t="s">
        <v>85</v>
      </c>
      <c r="D68" s="20"/>
      <c r="E68" s="21">
        <v>3834000</v>
      </c>
      <c r="F68" s="20"/>
      <c r="G68" s="20"/>
      <c r="H68" s="20"/>
      <c r="I68" s="24"/>
    </row>
    <row r="69" spans="2:9">
      <c r="B69" s="19"/>
      <c r="C69" s="20" t="s">
        <v>83</v>
      </c>
      <c r="D69" s="20"/>
      <c r="E69" s="21">
        <v>3247500</v>
      </c>
      <c r="F69" s="20"/>
      <c r="G69" s="20"/>
      <c r="H69" s="20"/>
      <c r="I69" s="24"/>
    </row>
    <row r="70" spans="2:9">
      <c r="B70" s="19"/>
      <c r="C70" s="20" t="s">
        <v>86</v>
      </c>
      <c r="D70" s="20"/>
      <c r="E70" s="21">
        <v>2392600</v>
      </c>
      <c r="F70" s="20"/>
      <c r="G70" s="20"/>
      <c r="H70" s="20"/>
      <c r="I70" s="24"/>
    </row>
    <row r="71" spans="2:9">
      <c r="B71" s="19"/>
      <c r="C71" s="20" t="s">
        <v>87</v>
      </c>
      <c r="D71" s="20"/>
      <c r="E71" s="21">
        <v>2388000</v>
      </c>
      <c r="F71" s="20"/>
      <c r="G71" s="20"/>
      <c r="H71" s="20"/>
      <c r="I71" s="24"/>
    </row>
    <row r="72" spans="2:9">
      <c r="B72" s="19"/>
      <c r="C72" s="20" t="s">
        <v>87</v>
      </c>
      <c r="D72" s="20"/>
      <c r="E72" s="21">
        <v>2388000</v>
      </c>
      <c r="F72" s="20"/>
      <c r="G72" s="20"/>
      <c r="H72" s="20"/>
      <c r="I72" s="24"/>
    </row>
    <row r="73" spans="2:9">
      <c r="B73" s="19"/>
      <c r="C73" s="20" t="s">
        <v>88</v>
      </c>
      <c r="D73" s="20"/>
      <c r="E73" s="21">
        <v>2382000</v>
      </c>
      <c r="F73" s="20"/>
      <c r="G73" s="20"/>
      <c r="H73" s="20"/>
      <c r="I73" s="24"/>
    </row>
    <row r="74" spans="2:9">
      <c r="B74" s="19"/>
      <c r="C74" s="20" t="s">
        <v>82</v>
      </c>
      <c r="D74" s="20"/>
      <c r="E74" s="21">
        <v>2180400</v>
      </c>
      <c r="F74" s="20"/>
      <c r="G74" s="20"/>
      <c r="H74" s="20"/>
      <c r="I74" s="24"/>
    </row>
    <row r="75" spans="2:9">
      <c r="B75" s="19"/>
      <c r="C75" s="20" t="s">
        <v>76</v>
      </c>
      <c r="D75" s="20"/>
      <c r="E75" s="21">
        <v>2160000</v>
      </c>
      <c r="F75" s="20"/>
      <c r="G75" s="20"/>
      <c r="H75" s="20"/>
      <c r="I75" s="24"/>
    </row>
    <row r="76" spans="2:9">
      <c r="B76" s="19"/>
      <c r="C76" s="20" t="s">
        <v>89</v>
      </c>
      <c r="D76" s="20"/>
      <c r="E76" s="21">
        <v>1882500</v>
      </c>
      <c r="F76" s="20"/>
      <c r="G76" s="20"/>
      <c r="H76" s="20"/>
      <c r="I76" s="24"/>
    </row>
    <row r="77" spans="2:9">
      <c r="B77" s="19"/>
      <c r="C77" s="20" t="s">
        <v>88</v>
      </c>
      <c r="D77" s="20"/>
      <c r="E77" s="21">
        <v>1588000</v>
      </c>
      <c r="F77" s="20"/>
      <c r="G77" s="20"/>
      <c r="H77" s="20"/>
      <c r="I77" s="24"/>
    </row>
    <row r="78" spans="2:9">
      <c r="B78" s="19"/>
      <c r="C78" s="20" t="s">
        <v>90</v>
      </c>
      <c r="D78" s="20"/>
      <c r="E78" s="21">
        <v>1564000</v>
      </c>
      <c r="F78" s="20"/>
      <c r="G78" s="20"/>
      <c r="H78" s="20"/>
      <c r="I78" s="24"/>
    </row>
    <row r="79" spans="2:9">
      <c r="B79" s="19"/>
      <c r="C79" s="20" t="s">
        <v>85</v>
      </c>
      <c r="D79" s="20"/>
      <c r="E79" s="21">
        <v>1278000</v>
      </c>
      <c r="F79" s="20"/>
      <c r="G79" s="20"/>
      <c r="H79" s="20"/>
      <c r="I79" s="24"/>
    </row>
    <row r="80" spans="2:9">
      <c r="B80" s="19"/>
      <c r="C80" s="20" t="s">
        <v>91</v>
      </c>
      <c r="D80" s="20"/>
      <c r="E80" s="21">
        <v>1013600</v>
      </c>
      <c r="F80" s="20"/>
      <c r="G80" s="20"/>
      <c r="H80" s="20"/>
      <c r="I80" s="24"/>
    </row>
    <row r="81" spans="2:9">
      <c r="B81" s="19"/>
      <c r="C81" s="20" t="s">
        <v>92</v>
      </c>
      <c r="D81" s="20"/>
      <c r="E81" s="21">
        <v>1002000</v>
      </c>
      <c r="F81" s="20"/>
      <c r="G81" s="20"/>
      <c r="H81" s="20"/>
      <c r="I81" s="24"/>
    </row>
    <row r="82" spans="2:9">
      <c r="B82" s="19"/>
      <c r="C82" s="20" t="s">
        <v>93</v>
      </c>
      <c r="D82" s="20"/>
      <c r="E82" s="21">
        <v>910000</v>
      </c>
      <c r="F82" s="20"/>
      <c r="G82" s="20"/>
      <c r="H82" s="20"/>
      <c r="I82" s="24"/>
    </row>
    <row r="83" spans="2:9">
      <c r="B83" s="19"/>
      <c r="C83" s="20" t="s">
        <v>94</v>
      </c>
      <c r="D83" s="20"/>
      <c r="E83" s="21">
        <v>840000</v>
      </c>
      <c r="F83" s="20"/>
      <c r="G83" s="20"/>
      <c r="H83" s="20"/>
      <c r="I83" s="24"/>
    </row>
    <row r="84" spans="2:9">
      <c r="B84" s="19"/>
      <c r="C84" s="20" t="s">
        <v>80</v>
      </c>
      <c r="D84" s="20"/>
      <c r="E84" s="21">
        <v>748800</v>
      </c>
      <c r="F84" s="20"/>
      <c r="G84" s="20"/>
      <c r="H84" s="20"/>
      <c r="I84" s="24"/>
    </row>
    <row r="85" spans="2:9">
      <c r="B85" s="19"/>
      <c r="C85" s="20" t="s">
        <v>95</v>
      </c>
      <c r="D85" s="20"/>
      <c r="E85" s="21">
        <v>681600</v>
      </c>
      <c r="F85" s="20"/>
      <c r="G85" s="20"/>
      <c r="H85" s="20"/>
      <c r="I85" s="24"/>
    </row>
    <row r="86" spans="2:9">
      <c r="B86" s="19"/>
      <c r="C86" s="20" t="s">
        <v>86</v>
      </c>
      <c r="D86" s="20"/>
      <c r="E86" s="21">
        <v>512700</v>
      </c>
      <c r="F86" s="20"/>
      <c r="G86" s="20"/>
      <c r="H86" s="20"/>
      <c r="I86" s="24"/>
    </row>
    <row r="87" spans="2:9">
      <c r="B87" s="19"/>
      <c r="C87" s="20" t="s">
        <v>77</v>
      </c>
      <c r="D87" s="20"/>
      <c r="E87" s="21">
        <v>497000</v>
      </c>
      <c r="F87" s="20"/>
      <c r="G87" s="20"/>
      <c r="H87" s="20"/>
      <c r="I87" s="24"/>
    </row>
    <row r="88" spans="2:9">
      <c r="B88" s="19"/>
      <c r="C88" s="20" t="s">
        <v>96</v>
      </c>
      <c r="D88" s="20"/>
      <c r="E88" s="21">
        <v>497000</v>
      </c>
      <c r="F88" s="20"/>
      <c r="G88" s="20"/>
      <c r="H88" s="20"/>
      <c r="I88" s="24"/>
    </row>
    <row r="89" spans="2:9">
      <c r="B89" s="19"/>
      <c r="C89" s="20" t="s">
        <v>96</v>
      </c>
      <c r="D89" s="20"/>
      <c r="E89" s="21">
        <v>497000</v>
      </c>
      <c r="F89" s="20"/>
      <c r="G89" s="20"/>
      <c r="H89" s="20"/>
      <c r="I89" s="24"/>
    </row>
    <row r="90" spans="2:9">
      <c r="B90" s="19"/>
      <c r="C90" s="20" t="s">
        <v>93</v>
      </c>
      <c r="D90" s="20"/>
      <c r="E90" s="21">
        <v>455000</v>
      </c>
      <c r="F90" s="20"/>
      <c r="G90" s="20"/>
      <c r="H90" s="20"/>
      <c r="I90" s="24"/>
    </row>
    <row r="91" spans="2:9">
      <c r="B91" s="19"/>
      <c r="C91" s="20" t="s">
        <v>97</v>
      </c>
      <c r="D91" s="20"/>
      <c r="E91" s="21">
        <v>432000</v>
      </c>
      <c r="F91" s="20"/>
      <c r="G91" s="20"/>
      <c r="H91" s="20"/>
      <c r="I91" s="24"/>
    </row>
    <row r="92" spans="2:9">
      <c r="B92" s="19"/>
      <c r="C92" s="20" t="s">
        <v>92</v>
      </c>
      <c r="D92" s="20"/>
      <c r="E92" s="21">
        <v>250500</v>
      </c>
      <c r="F92" s="20"/>
      <c r="G92" s="20"/>
      <c r="H92" s="20"/>
      <c r="I92" s="24"/>
    </row>
    <row r="93" spans="2:9">
      <c r="B93" s="19"/>
      <c r="C93" s="20" t="s">
        <v>98</v>
      </c>
      <c r="D93" s="20"/>
      <c r="E93" s="21">
        <v>2388000</v>
      </c>
      <c r="F93" s="20"/>
      <c r="G93" s="20"/>
      <c r="H93" s="20"/>
      <c r="I93" s="24"/>
    </row>
    <row r="94" spans="2:9">
      <c r="B94" s="19"/>
      <c r="C94" s="20" t="s">
        <v>99</v>
      </c>
      <c r="D94" s="20"/>
      <c r="E94" s="21">
        <v>2085000</v>
      </c>
      <c r="F94" s="20"/>
      <c r="G94" s="20"/>
      <c r="H94" s="20"/>
      <c r="I94" s="24"/>
    </row>
    <row r="95" spans="2:9">
      <c r="B95" s="19"/>
      <c r="C95" s="20" t="s">
        <v>100</v>
      </c>
      <c r="D95" s="20"/>
      <c r="E95" s="21">
        <v>1896000</v>
      </c>
      <c r="F95" s="20"/>
      <c r="G95" s="20"/>
      <c r="H95" s="20"/>
      <c r="I95" s="24"/>
    </row>
    <row r="96" spans="2:9">
      <c r="B96" s="19"/>
      <c r="C96" s="20" t="s">
        <v>101</v>
      </c>
      <c r="D96" s="20"/>
      <c r="E96" s="21">
        <v>5014272</v>
      </c>
      <c r="F96" s="20"/>
      <c r="G96" s="20"/>
      <c r="H96" s="20"/>
      <c r="I96" s="24"/>
    </row>
    <row r="97" spans="2:9">
      <c r="B97" s="19"/>
      <c r="C97" s="20" t="s">
        <v>102</v>
      </c>
      <c r="D97" s="20"/>
      <c r="E97" s="21">
        <v>42288819</v>
      </c>
      <c r="F97" s="20"/>
      <c r="G97" s="20"/>
      <c r="H97" s="20"/>
      <c r="I97" s="24"/>
    </row>
    <row r="98" spans="2:9">
      <c r="B98" s="19"/>
      <c r="C98" s="20" t="s">
        <v>103</v>
      </c>
      <c r="D98" s="20"/>
      <c r="E98" s="21">
        <v>14000</v>
      </c>
      <c r="F98" s="20"/>
      <c r="G98" s="20"/>
      <c r="H98" s="20"/>
      <c r="I98" s="24"/>
    </row>
    <row r="99" spans="2:9">
      <c r="B99" s="19"/>
      <c r="C99" s="20" t="s">
        <v>104</v>
      </c>
      <c r="D99" s="20"/>
      <c r="E99" s="21">
        <v>3508354</v>
      </c>
      <c r="F99" s="20"/>
      <c r="G99" s="20"/>
      <c r="H99" s="20"/>
      <c r="I99" s="24"/>
    </row>
    <row r="100" spans="2:9">
      <c r="B100" s="19"/>
      <c r="C100" s="20" t="s">
        <v>105</v>
      </c>
      <c r="D100" s="20"/>
      <c r="E100" s="21">
        <v>3565676</v>
      </c>
      <c r="F100" s="20"/>
      <c r="G100" s="20"/>
      <c r="H100" s="20"/>
      <c r="I100" s="24"/>
    </row>
    <row r="101" spans="2:9">
      <c r="B101" s="19" t="s">
        <v>106</v>
      </c>
      <c r="C101" s="20"/>
      <c r="D101" s="20"/>
      <c r="E101" s="21"/>
      <c r="F101" s="20"/>
      <c r="G101" s="20"/>
      <c r="H101" s="20"/>
      <c r="I101" s="24"/>
    </row>
    <row r="102" spans="2:9">
      <c r="B102" s="19" t="s">
        <v>107</v>
      </c>
      <c r="C102" s="20"/>
      <c r="D102" s="20"/>
      <c r="E102" s="21"/>
      <c r="F102" s="20"/>
      <c r="G102" s="20"/>
      <c r="H102" s="20"/>
      <c r="I102" s="24"/>
    </row>
    <row r="103" spans="2:9">
      <c r="B103" s="19" t="s">
        <v>108</v>
      </c>
      <c r="C103" s="20"/>
      <c r="D103" s="20"/>
      <c r="E103" s="21"/>
      <c r="F103" s="20"/>
      <c r="G103" s="20"/>
      <c r="H103" s="20"/>
      <c r="I103" s="24"/>
    </row>
    <row r="104" spans="2:9">
      <c r="B104" s="19" t="s">
        <v>109</v>
      </c>
      <c r="C104" s="20" t="s">
        <v>110</v>
      </c>
      <c r="D104" s="20"/>
      <c r="E104" s="21">
        <v>0</v>
      </c>
      <c r="F104" s="20"/>
      <c r="G104" s="20"/>
      <c r="H104" s="20"/>
      <c r="I104" s="24"/>
    </row>
    <row r="105" spans="2:9">
      <c r="B105" s="19" t="s">
        <v>111</v>
      </c>
      <c r="C105" s="20" t="s">
        <v>112</v>
      </c>
      <c r="D105" s="20"/>
      <c r="E105" s="21">
        <v>8278289</v>
      </c>
      <c r="F105" s="20"/>
      <c r="G105" s="20"/>
      <c r="H105" s="20"/>
      <c r="I105" s="24"/>
    </row>
    <row r="106" spans="2:9">
      <c r="B106" s="25" t="s">
        <v>114</v>
      </c>
      <c r="C106" s="25"/>
      <c r="D106" s="25"/>
      <c r="E106" s="26">
        <f>SUM(E40:E105)</f>
        <v>0</v>
      </c>
      <c r="F106" s="27" t="s">
        <v>115</v>
      </c>
      <c r="G106" s="27"/>
      <c r="H106" s="27"/>
      <c r="I106" s="28">
        <f>SUM(I40:I105)</f>
        <v>0</v>
      </c>
    </row>
    <row r="107" spans="2:9">
      <c r="B107" s="29" t="s">
        <v>116</v>
      </c>
      <c r="C107" s="29"/>
      <c r="D107" s="29"/>
      <c r="E107" s="29"/>
      <c r="F107" s="29"/>
      <c r="G107" s="29"/>
      <c r="H107" s="29"/>
      <c r="I107" s="29"/>
    </row>
    <row r="108" spans="2:9">
      <c r="B108" s="30">
        <f>E106-I106</f>
        <v>0</v>
      </c>
      <c r="C108" s="30"/>
      <c r="D108" s="30"/>
      <c r="E108" s="30"/>
      <c r="F108" s="30"/>
      <c r="G108" s="30"/>
      <c r="H108" s="30"/>
      <c r="I108" s="30"/>
    </row>
    <row r="111" spans="2:9">
      <c r="B111" s="1" t="s">
        <v>117</v>
      </c>
    </row>
    <row r="112" spans="2:9">
      <c r="B112" t="s">
        <v>118</v>
      </c>
    </row>
    <row r="113" spans="2:10">
      <c r="B113" s="31" t="s">
        <v>119</v>
      </c>
      <c r="C113" s="32" t="s">
        <v>120</v>
      </c>
      <c r="D113" s="32"/>
      <c r="E113" s="32" t="s">
        <v>121</v>
      </c>
      <c r="F113" s="32" t="s">
        <v>122</v>
      </c>
      <c r="G113" s="32" t="s">
        <v>123</v>
      </c>
      <c r="H113" s="32" t="s">
        <v>124</v>
      </c>
    </row>
    <row r="114" spans="2:10">
      <c r="B114" s="33" t="s">
        <v>125</v>
      </c>
      <c r="C114" s="34" t="s">
        <v>110</v>
      </c>
      <c r="D114" s="34"/>
      <c r="E114" s="35" t="s">
        <v>126</v>
      </c>
      <c r="F114" s="36">
        <v>1000000</v>
      </c>
      <c r="G114" s="37">
        <v>45747</v>
      </c>
      <c r="H114" s="37">
        <v>401119</v>
      </c>
    </row>
    <row r="115" spans="2:10">
      <c r="B115" s="38" t="s">
        <v>13</v>
      </c>
      <c r="C115" s="39" t="s">
        <v>127</v>
      </c>
      <c r="D115" s="39"/>
      <c r="E115" s="39" t="s">
        <v>128</v>
      </c>
      <c r="F115" s="39" t="s">
        <v>129</v>
      </c>
      <c r="G115" s="39"/>
      <c r="H115" s="40"/>
    </row>
    <row r="116" spans="2:10">
      <c r="B116" s="38"/>
      <c r="C116" s="41" t="s">
        <v>130</v>
      </c>
      <c r="D116" s="41"/>
      <c r="E116" s="41" t="s">
        <v>131</v>
      </c>
      <c r="F116" s="42">
        <f>SUM(F114)</f>
        <v>0</v>
      </c>
      <c r="G116" s="41"/>
      <c r="H116" s="43"/>
    </row>
    <row r="118" spans="2:10">
      <c r="B118" s="1" t="s">
        <v>132</v>
      </c>
    </row>
    <row r="119" spans="2:10">
      <c r="B119" t="s">
        <v>133</v>
      </c>
    </row>
    <row r="120" spans="2:10">
      <c r="B120" s="31" t="s">
        <v>134</v>
      </c>
      <c r="C120" s="32" t="s">
        <v>119</v>
      </c>
      <c r="D120" s="32" t="s">
        <v>54</v>
      </c>
      <c r="E120" s="32"/>
      <c r="F120" s="32" t="s">
        <v>135</v>
      </c>
      <c r="G120" s="32" t="s">
        <v>136</v>
      </c>
      <c r="H120" s="32" t="s">
        <v>137</v>
      </c>
      <c r="I120" s="32" t="s">
        <v>138</v>
      </c>
      <c r="J120" s="32" t="s">
        <v>124</v>
      </c>
    </row>
    <row r="121" spans="2:10">
      <c r="B121" s="33" t="s">
        <v>139</v>
      </c>
      <c r="C121" s="34" t="s">
        <v>140</v>
      </c>
      <c r="D121" s="34" t="s">
        <v>75</v>
      </c>
      <c r="E121" s="34"/>
      <c r="F121" s="36">
        <v>20526198</v>
      </c>
      <c r="G121" s="36">
        <v>21892500</v>
      </c>
      <c r="H121" s="44">
        <v>6.656381274311005</v>
      </c>
      <c r="I121" s="37"/>
      <c r="J121" s="37"/>
    </row>
    <row r="122" spans="2:10">
      <c r="B122" s="33" t="s">
        <v>139</v>
      </c>
      <c r="C122" s="34" t="s">
        <v>140</v>
      </c>
      <c r="D122" s="34" t="s">
        <v>76</v>
      </c>
      <c r="E122" s="34"/>
      <c r="F122" s="36">
        <v>11504696</v>
      </c>
      <c r="G122" s="36">
        <v>15120000</v>
      </c>
      <c r="H122" s="44">
        <v>31.42459392234267</v>
      </c>
      <c r="I122" s="37"/>
      <c r="J122" s="37"/>
    </row>
    <row r="123" spans="2:10">
      <c r="B123" s="33" t="s">
        <v>139</v>
      </c>
      <c r="C123" s="34" t="s">
        <v>140</v>
      </c>
      <c r="D123" s="34" t="s">
        <v>77</v>
      </c>
      <c r="E123" s="34"/>
      <c r="F123" s="36">
        <v>7101574</v>
      </c>
      <c r="G123" s="36">
        <v>13916000</v>
      </c>
      <c r="H123" s="44">
        <v>95.95655836297699</v>
      </c>
      <c r="I123" s="37"/>
      <c r="J123" s="37"/>
    </row>
    <row r="124" spans="2:10">
      <c r="B124" s="33" t="s">
        <v>139</v>
      </c>
      <c r="C124" s="34" t="s">
        <v>140</v>
      </c>
      <c r="D124" s="34" t="s">
        <v>78</v>
      </c>
      <c r="E124" s="34"/>
      <c r="F124" s="36">
        <v>4481116</v>
      </c>
      <c r="G124" s="36">
        <v>9020000</v>
      </c>
      <c r="H124" s="44">
        <v>101.2891431509472</v>
      </c>
      <c r="I124" s="37"/>
      <c r="J124" s="37"/>
    </row>
    <row r="125" spans="2:10">
      <c r="B125" s="33" t="s">
        <v>139</v>
      </c>
      <c r="C125" s="34" t="s">
        <v>140</v>
      </c>
      <c r="D125" s="34" t="s">
        <v>75</v>
      </c>
      <c r="E125" s="34"/>
      <c r="F125" s="36">
        <v>8994690</v>
      </c>
      <c r="G125" s="36">
        <v>8340000</v>
      </c>
      <c r="H125" s="44">
        <v>-7.278627723690311</v>
      </c>
      <c r="I125" s="37"/>
      <c r="J125" s="37"/>
    </row>
    <row r="126" spans="2:10">
      <c r="B126" s="33" t="s">
        <v>139</v>
      </c>
      <c r="C126" s="34" t="s">
        <v>140</v>
      </c>
      <c r="D126" s="34" t="s">
        <v>79</v>
      </c>
      <c r="E126" s="34"/>
      <c r="F126" s="36">
        <v>7792100</v>
      </c>
      <c r="G126" s="36">
        <v>6952000</v>
      </c>
      <c r="H126" s="44">
        <v>-10.78143247648259</v>
      </c>
      <c r="I126" s="37"/>
      <c r="J126" s="37"/>
    </row>
    <row r="127" spans="2:10">
      <c r="B127" s="33" t="s">
        <v>139</v>
      </c>
      <c r="C127" s="34" t="s">
        <v>140</v>
      </c>
      <c r="D127" s="34" t="s">
        <v>79</v>
      </c>
      <c r="E127" s="34"/>
      <c r="F127" s="36">
        <v>6766139</v>
      </c>
      <c r="G127" s="36">
        <v>6320000</v>
      </c>
      <c r="H127" s="44">
        <v>-6.593701370900007</v>
      </c>
      <c r="I127" s="37"/>
      <c r="J127" s="37"/>
    </row>
    <row r="128" spans="2:10">
      <c r="B128" s="33" t="s">
        <v>139</v>
      </c>
      <c r="C128" s="34" t="s">
        <v>140</v>
      </c>
      <c r="D128" s="34" t="s">
        <v>80</v>
      </c>
      <c r="E128" s="34"/>
      <c r="F128" s="36">
        <v>5880760</v>
      </c>
      <c r="G128" s="36">
        <v>5990400</v>
      </c>
      <c r="H128" s="44">
        <v>1.864384875424265</v>
      </c>
      <c r="I128" s="37"/>
      <c r="J128" s="37"/>
    </row>
    <row r="129" spans="2:10">
      <c r="B129" s="33" t="s">
        <v>139</v>
      </c>
      <c r="C129" s="34" t="s">
        <v>140</v>
      </c>
      <c r="D129" s="34" t="s">
        <v>81</v>
      </c>
      <c r="E129" s="34"/>
      <c r="F129" s="36">
        <v>5460403</v>
      </c>
      <c r="G129" s="36">
        <v>5775000</v>
      </c>
      <c r="H129" s="44">
        <v>5.761424568845926</v>
      </c>
      <c r="I129" s="37"/>
      <c r="J129" s="37"/>
    </row>
    <row r="130" spans="2:10">
      <c r="B130" s="33" t="s">
        <v>139</v>
      </c>
      <c r="C130" s="34" t="s">
        <v>140</v>
      </c>
      <c r="D130" s="34" t="s">
        <v>82</v>
      </c>
      <c r="E130" s="34"/>
      <c r="F130" s="36">
        <v>4830260</v>
      </c>
      <c r="G130" s="36">
        <v>4740000</v>
      </c>
      <c r="H130" s="44">
        <v>-1.868636470914609</v>
      </c>
      <c r="I130" s="37"/>
      <c r="J130" s="37"/>
    </row>
    <row r="131" spans="2:10">
      <c r="B131" s="33" t="s">
        <v>139</v>
      </c>
      <c r="C131" s="34" t="s">
        <v>140</v>
      </c>
      <c r="D131" s="34" t="s">
        <v>83</v>
      </c>
      <c r="E131" s="34"/>
      <c r="F131" s="36">
        <v>5188547</v>
      </c>
      <c r="G131" s="36">
        <v>4330000</v>
      </c>
      <c r="H131" s="44">
        <v>-16.54696391880039</v>
      </c>
      <c r="I131" s="37"/>
      <c r="J131" s="37"/>
    </row>
    <row r="132" spans="2:10">
      <c r="B132" s="33" t="s">
        <v>139</v>
      </c>
      <c r="C132" s="34" t="s">
        <v>140</v>
      </c>
      <c r="D132" s="34" t="s">
        <v>84</v>
      </c>
      <c r="E132" s="34"/>
      <c r="F132" s="36">
        <v>4188679</v>
      </c>
      <c r="G132" s="36">
        <v>4297500</v>
      </c>
      <c r="H132" s="44">
        <v>2.597978980962733</v>
      </c>
      <c r="I132" s="37"/>
      <c r="J132" s="37"/>
    </row>
    <row r="133" spans="2:10">
      <c r="B133" s="33" t="s">
        <v>139</v>
      </c>
      <c r="C133" s="34" t="s">
        <v>140</v>
      </c>
      <c r="D133" s="34" t="s">
        <v>81</v>
      </c>
      <c r="E133" s="34"/>
      <c r="F133" s="36">
        <v>3465446</v>
      </c>
      <c r="G133" s="36">
        <v>3850000</v>
      </c>
      <c r="H133" s="44">
        <v>11.09681120409898</v>
      </c>
      <c r="I133" s="37"/>
      <c r="J133" s="37"/>
    </row>
    <row r="134" spans="2:10">
      <c r="B134" s="33" t="s">
        <v>139</v>
      </c>
      <c r="C134" s="34" t="s">
        <v>140</v>
      </c>
      <c r="D134" s="34" t="s">
        <v>85</v>
      </c>
      <c r="E134" s="34"/>
      <c r="F134" s="36">
        <v>3593841</v>
      </c>
      <c r="G134" s="36">
        <v>3834000</v>
      </c>
      <c r="H134" s="44">
        <v>6.682516004464304</v>
      </c>
      <c r="I134" s="37"/>
      <c r="J134" s="37"/>
    </row>
    <row r="135" spans="2:10">
      <c r="B135" s="33" t="s">
        <v>139</v>
      </c>
      <c r="C135" s="34" t="s">
        <v>140</v>
      </c>
      <c r="D135" s="34" t="s">
        <v>83</v>
      </c>
      <c r="E135" s="34"/>
      <c r="F135" s="36">
        <v>3610134</v>
      </c>
      <c r="G135" s="36">
        <v>3247500</v>
      </c>
      <c r="H135" s="44">
        <v>-10.04489030047084</v>
      </c>
      <c r="I135" s="37"/>
      <c r="J135" s="37"/>
    </row>
    <row r="136" spans="2:10">
      <c r="B136" s="33" t="s">
        <v>139</v>
      </c>
      <c r="C136" s="34" t="s">
        <v>140</v>
      </c>
      <c r="D136" s="34" t="s">
        <v>86</v>
      </c>
      <c r="E136" s="34"/>
      <c r="F136" s="36">
        <v>2477084</v>
      </c>
      <c r="G136" s="36">
        <v>2392600</v>
      </c>
      <c r="H136" s="44">
        <v>-3.410623135913033</v>
      </c>
      <c r="I136" s="37"/>
      <c r="J136" s="37"/>
    </row>
    <row r="137" spans="2:10">
      <c r="B137" s="33" t="s">
        <v>139</v>
      </c>
      <c r="C137" s="34" t="s">
        <v>140</v>
      </c>
      <c r="D137" s="34" t="s">
        <v>87</v>
      </c>
      <c r="E137" s="34"/>
      <c r="F137" s="36">
        <v>2400585</v>
      </c>
      <c r="G137" s="36">
        <v>2388000</v>
      </c>
      <c r="H137" s="44">
        <v>-0.5242472147414068</v>
      </c>
      <c r="I137" s="37"/>
      <c r="J137" s="37"/>
    </row>
    <row r="138" spans="2:10">
      <c r="B138" s="33" t="s">
        <v>139</v>
      </c>
      <c r="C138" s="34" t="s">
        <v>140</v>
      </c>
      <c r="D138" s="34" t="s">
        <v>87</v>
      </c>
      <c r="E138" s="34"/>
      <c r="F138" s="36">
        <v>2488988</v>
      </c>
      <c r="G138" s="36">
        <v>2388000</v>
      </c>
      <c r="H138" s="44">
        <v>-4.057392000282846</v>
      </c>
      <c r="I138" s="37"/>
      <c r="J138" s="37"/>
    </row>
    <row r="139" spans="2:10">
      <c r="B139" s="33" t="s">
        <v>139</v>
      </c>
      <c r="C139" s="34" t="s">
        <v>140</v>
      </c>
      <c r="D139" s="34" t="s">
        <v>88</v>
      </c>
      <c r="E139" s="34"/>
      <c r="F139" s="36">
        <v>2553039</v>
      </c>
      <c r="G139" s="36">
        <v>2382000</v>
      </c>
      <c r="H139" s="44">
        <v>-6.699427623314802</v>
      </c>
      <c r="I139" s="37"/>
      <c r="J139" s="37"/>
    </row>
    <row r="140" spans="2:10">
      <c r="B140" s="33" t="s">
        <v>139</v>
      </c>
      <c r="C140" s="34" t="s">
        <v>140</v>
      </c>
      <c r="D140" s="34" t="s">
        <v>82</v>
      </c>
      <c r="E140" s="34"/>
      <c r="F140" s="36">
        <v>2138451</v>
      </c>
      <c r="G140" s="36">
        <v>2180400</v>
      </c>
      <c r="H140" s="44">
        <v>1.961653552033692</v>
      </c>
      <c r="I140" s="37"/>
      <c r="J140" s="37"/>
    </row>
    <row r="141" spans="2:10">
      <c r="B141" s="33" t="s">
        <v>139</v>
      </c>
      <c r="C141" s="34" t="s">
        <v>140</v>
      </c>
      <c r="D141" s="34" t="s">
        <v>76</v>
      </c>
      <c r="E141" s="34"/>
      <c r="F141" s="36">
        <v>2061648</v>
      </c>
      <c r="G141" s="36">
        <v>2160000</v>
      </c>
      <c r="H141" s="44">
        <v>4.770552490046797</v>
      </c>
      <c r="I141" s="37"/>
      <c r="J141" s="37"/>
    </row>
    <row r="142" spans="2:10">
      <c r="B142" s="33" t="s">
        <v>139</v>
      </c>
      <c r="C142" s="34" t="s">
        <v>140</v>
      </c>
      <c r="D142" s="34" t="s">
        <v>89</v>
      </c>
      <c r="E142" s="34"/>
      <c r="F142" s="36">
        <v>1884006</v>
      </c>
      <c r="G142" s="36">
        <v>1882500</v>
      </c>
      <c r="H142" s="44">
        <v>-0.07993605115907274</v>
      </c>
      <c r="I142" s="37"/>
      <c r="J142" s="37"/>
    </row>
    <row r="143" spans="2:10">
      <c r="B143" s="33" t="s">
        <v>139</v>
      </c>
      <c r="C143" s="34" t="s">
        <v>140</v>
      </c>
      <c r="D143" s="34" t="s">
        <v>88</v>
      </c>
      <c r="E143" s="34"/>
      <c r="F143" s="36">
        <v>1721934</v>
      </c>
      <c r="G143" s="36">
        <v>1588000</v>
      </c>
      <c r="H143" s="44">
        <v>-7.778114608341551</v>
      </c>
      <c r="I143" s="37"/>
      <c r="J143" s="37"/>
    </row>
    <row r="144" spans="2:10">
      <c r="B144" s="33" t="s">
        <v>139</v>
      </c>
      <c r="C144" s="34" t="s">
        <v>140</v>
      </c>
      <c r="D144" s="34" t="s">
        <v>90</v>
      </c>
      <c r="E144" s="34"/>
      <c r="F144" s="36">
        <v>1086868</v>
      </c>
      <c r="G144" s="36">
        <v>1564000</v>
      </c>
      <c r="H144" s="44">
        <v>43.89971919313109</v>
      </c>
      <c r="I144" s="37"/>
      <c r="J144" s="37"/>
    </row>
    <row r="145" spans="2:10">
      <c r="B145" s="33" t="s">
        <v>139</v>
      </c>
      <c r="C145" s="34" t="s">
        <v>140</v>
      </c>
      <c r="D145" s="34" t="s">
        <v>85</v>
      </c>
      <c r="E145" s="34"/>
      <c r="F145" s="36">
        <v>1265511</v>
      </c>
      <c r="G145" s="36">
        <v>1278000</v>
      </c>
      <c r="H145" s="44">
        <v>0.9868740769538945</v>
      </c>
      <c r="I145" s="37"/>
      <c r="J145" s="37"/>
    </row>
    <row r="146" spans="2:10">
      <c r="B146" s="33" t="s">
        <v>139</v>
      </c>
      <c r="C146" s="34" t="s">
        <v>140</v>
      </c>
      <c r="D146" s="34" t="s">
        <v>91</v>
      </c>
      <c r="E146" s="34"/>
      <c r="F146" s="36">
        <v>962185</v>
      </c>
      <c r="G146" s="36">
        <v>1013600</v>
      </c>
      <c r="H146" s="44">
        <v>5.34356698555891</v>
      </c>
      <c r="I146" s="37"/>
      <c r="J146" s="37"/>
    </row>
    <row r="147" spans="2:10">
      <c r="B147" s="33" t="s">
        <v>139</v>
      </c>
      <c r="C147" s="34" t="s">
        <v>140</v>
      </c>
      <c r="D147" s="34" t="s">
        <v>92</v>
      </c>
      <c r="E147" s="34"/>
      <c r="F147" s="36">
        <v>973107</v>
      </c>
      <c r="G147" s="36">
        <v>1002000</v>
      </c>
      <c r="H147" s="44">
        <v>2.969149333012711</v>
      </c>
      <c r="I147" s="37"/>
      <c r="J147" s="37"/>
    </row>
    <row r="148" spans="2:10">
      <c r="B148" s="33" t="s">
        <v>139</v>
      </c>
      <c r="C148" s="34" t="s">
        <v>140</v>
      </c>
      <c r="D148" s="34" t="s">
        <v>93</v>
      </c>
      <c r="E148" s="34"/>
      <c r="F148" s="36">
        <v>916232</v>
      </c>
      <c r="G148" s="36">
        <v>910000</v>
      </c>
      <c r="H148" s="44">
        <v>-0.6801770730557326</v>
      </c>
      <c r="I148" s="37"/>
      <c r="J148" s="37"/>
    </row>
    <row r="149" spans="2:10">
      <c r="B149" s="33" t="s">
        <v>139</v>
      </c>
      <c r="C149" s="34" t="s">
        <v>140</v>
      </c>
      <c r="D149" s="34" t="s">
        <v>94</v>
      </c>
      <c r="E149" s="34"/>
      <c r="F149" s="36">
        <v>967662</v>
      </c>
      <c r="G149" s="36">
        <v>840000</v>
      </c>
      <c r="H149" s="44">
        <v>-13.19282972773551</v>
      </c>
      <c r="I149" s="37"/>
      <c r="J149" s="37"/>
    </row>
    <row r="150" spans="2:10">
      <c r="B150" s="33" t="s">
        <v>139</v>
      </c>
      <c r="C150" s="34" t="s">
        <v>140</v>
      </c>
      <c r="D150" s="34" t="s">
        <v>80</v>
      </c>
      <c r="E150" s="34"/>
      <c r="F150" s="36">
        <v>747997</v>
      </c>
      <c r="G150" s="36">
        <v>748800</v>
      </c>
      <c r="H150" s="44">
        <v>0.1073533717381219</v>
      </c>
      <c r="I150" s="37"/>
      <c r="J150" s="37"/>
    </row>
    <row r="151" spans="2:10">
      <c r="B151" s="33" t="s">
        <v>139</v>
      </c>
      <c r="C151" s="34" t="s">
        <v>140</v>
      </c>
      <c r="D151" s="34" t="s">
        <v>95</v>
      </c>
      <c r="E151" s="34"/>
      <c r="F151" s="36">
        <v>672150</v>
      </c>
      <c r="G151" s="36">
        <v>681600</v>
      </c>
      <c r="H151" s="44">
        <v>1.405936174960946</v>
      </c>
      <c r="I151" s="37"/>
      <c r="J151" s="37"/>
    </row>
    <row r="152" spans="2:10">
      <c r="B152" s="33" t="s">
        <v>139</v>
      </c>
      <c r="C152" s="34" t="s">
        <v>140</v>
      </c>
      <c r="D152" s="34" t="s">
        <v>86</v>
      </c>
      <c r="E152" s="34"/>
      <c r="F152" s="36">
        <v>513835</v>
      </c>
      <c r="G152" s="36">
        <v>512700</v>
      </c>
      <c r="H152" s="44">
        <v>-0.2208880282580984</v>
      </c>
      <c r="I152" s="37"/>
      <c r="J152" s="37"/>
    </row>
    <row r="153" spans="2:10">
      <c r="B153" s="33" t="s">
        <v>139</v>
      </c>
      <c r="C153" s="34" t="s">
        <v>140</v>
      </c>
      <c r="D153" s="34" t="s">
        <v>77</v>
      </c>
      <c r="E153" s="34"/>
      <c r="F153" s="36">
        <v>580464</v>
      </c>
      <c r="G153" s="36">
        <v>497000</v>
      </c>
      <c r="H153" s="44">
        <v>-14.37884175418286</v>
      </c>
      <c r="I153" s="37"/>
      <c r="J153" s="37"/>
    </row>
    <row r="154" spans="2:10">
      <c r="B154" s="33" t="s">
        <v>139</v>
      </c>
      <c r="C154" s="34" t="s">
        <v>140</v>
      </c>
      <c r="D154" s="34" t="s">
        <v>96</v>
      </c>
      <c r="E154" s="34"/>
      <c r="F154" s="36">
        <v>491893</v>
      </c>
      <c r="G154" s="36">
        <v>497000</v>
      </c>
      <c r="H154" s="44">
        <v>1.038233924857642</v>
      </c>
      <c r="I154" s="37"/>
      <c r="J154" s="37"/>
    </row>
    <row r="155" spans="2:10">
      <c r="B155" s="33" t="s">
        <v>139</v>
      </c>
      <c r="C155" s="34" t="s">
        <v>140</v>
      </c>
      <c r="D155" s="34" t="s">
        <v>96</v>
      </c>
      <c r="E155" s="34"/>
      <c r="F155" s="36">
        <v>478382</v>
      </c>
      <c r="G155" s="36">
        <v>497000</v>
      </c>
      <c r="H155" s="44">
        <v>3.891868841218942</v>
      </c>
      <c r="I155" s="37"/>
      <c r="J155" s="37"/>
    </row>
    <row r="156" spans="2:10">
      <c r="B156" s="33" t="s">
        <v>139</v>
      </c>
      <c r="C156" s="34" t="s">
        <v>140</v>
      </c>
      <c r="D156" s="34" t="s">
        <v>93</v>
      </c>
      <c r="E156" s="34"/>
      <c r="F156" s="36">
        <v>455864</v>
      </c>
      <c r="G156" s="36">
        <v>455000</v>
      </c>
      <c r="H156" s="44">
        <v>-0.189530210764614</v>
      </c>
      <c r="I156" s="37"/>
      <c r="J156" s="37"/>
    </row>
    <row r="157" spans="2:10">
      <c r="B157" s="33" t="s">
        <v>139</v>
      </c>
      <c r="C157" s="34" t="s">
        <v>140</v>
      </c>
      <c r="D157" s="34" t="s">
        <v>97</v>
      </c>
      <c r="E157" s="34"/>
      <c r="F157" s="36">
        <v>471126</v>
      </c>
      <c r="G157" s="36">
        <v>432000</v>
      </c>
      <c r="H157" s="44">
        <v>-8.304784707275761</v>
      </c>
      <c r="I157" s="37"/>
      <c r="J157" s="37"/>
    </row>
    <row r="158" spans="2:10">
      <c r="B158" s="33" t="s">
        <v>139</v>
      </c>
      <c r="C158" s="34" t="s">
        <v>140</v>
      </c>
      <c r="D158" s="34" t="s">
        <v>92</v>
      </c>
      <c r="E158" s="34"/>
      <c r="F158" s="36">
        <v>250200</v>
      </c>
      <c r="G158" s="36">
        <v>250500</v>
      </c>
      <c r="H158" s="44">
        <v>0.1199040767386091</v>
      </c>
      <c r="I158" s="37"/>
      <c r="J158" s="37"/>
    </row>
    <row r="159" spans="2:10">
      <c r="B159" s="33" t="s">
        <v>139</v>
      </c>
      <c r="C159" s="34" t="s">
        <v>141</v>
      </c>
      <c r="D159" s="34" t="s">
        <v>98</v>
      </c>
      <c r="E159" s="34"/>
      <c r="F159" s="36">
        <v>2234000</v>
      </c>
      <c r="G159" s="36">
        <v>2388000</v>
      </c>
      <c r="H159" s="44">
        <v>6.893464637421665</v>
      </c>
      <c r="I159" s="37"/>
      <c r="J159" s="37"/>
    </row>
    <row r="160" spans="2:10">
      <c r="B160" s="33" t="s">
        <v>139</v>
      </c>
      <c r="C160" s="34" t="s">
        <v>141</v>
      </c>
      <c r="D160" s="34" t="s">
        <v>99</v>
      </c>
      <c r="E160" s="34"/>
      <c r="F160" s="36">
        <v>2325000</v>
      </c>
      <c r="G160" s="36">
        <v>2085000</v>
      </c>
      <c r="H160" s="44">
        <v>-10.32258064516129</v>
      </c>
      <c r="I160" s="37"/>
      <c r="J160" s="37"/>
    </row>
    <row r="161" spans="2:10">
      <c r="B161" s="33" t="s">
        <v>139</v>
      </c>
      <c r="C161" s="34" t="s">
        <v>141</v>
      </c>
      <c r="D161" s="34" t="s">
        <v>100</v>
      </c>
      <c r="E161" s="34"/>
      <c r="F161" s="36">
        <v>1912000</v>
      </c>
      <c r="G161" s="36">
        <v>1896000</v>
      </c>
      <c r="H161" s="44">
        <v>-0.8368200836820083</v>
      </c>
      <c r="I161" s="37"/>
      <c r="J161" s="37"/>
    </row>
    <row r="162" spans="2:10">
      <c r="B162" s="45" t="s">
        <v>13</v>
      </c>
      <c r="C162" s="39"/>
      <c r="D162" s="39" t="s">
        <v>142</v>
      </c>
      <c r="E162" s="39"/>
      <c r="F162" s="39" t="s">
        <v>143</v>
      </c>
      <c r="G162" s="39" t="s">
        <v>144</v>
      </c>
      <c r="H162" s="39" t="s">
        <v>145</v>
      </c>
      <c r="I162" s="39"/>
      <c r="J162" s="40"/>
    </row>
    <row r="163" spans="2:10">
      <c r="B163" s="45"/>
      <c r="C163" s="41"/>
      <c r="D163" s="41" t="s">
        <v>146</v>
      </c>
      <c r="E163" s="41"/>
      <c r="F163" s="42">
        <f>SUM(F121:F161)</f>
        <v>0</v>
      </c>
      <c r="G163" s="42">
        <f>SUM(G121:G161)</f>
        <v>0</v>
      </c>
      <c r="H163" s="46">
        <f>(SUM(G121:G161) - SUM(F121:F161)) * 100 / IF(SUM(F121:F161), SUM(F121:F161), 1)</f>
        <v>0</v>
      </c>
      <c r="I163" s="41"/>
      <c r="J163" s="43"/>
    </row>
    <row r="165" spans="2:10">
      <c r="B165" s="1" t="s">
        <v>147</v>
      </c>
    </row>
    <row r="166" spans="2:10">
      <c r="B166" t="s">
        <v>148</v>
      </c>
    </row>
    <row r="167" spans="2:10">
      <c r="B167" s="47" t="s">
        <v>149</v>
      </c>
      <c r="C167" s="48" t="s">
        <v>119</v>
      </c>
      <c r="D167" s="48" t="s">
        <v>54</v>
      </c>
      <c r="E167" s="48"/>
      <c r="F167" s="48" t="s">
        <v>150</v>
      </c>
      <c r="G167" s="48" t="s">
        <v>151</v>
      </c>
      <c r="H167" s="48" t="s">
        <v>152</v>
      </c>
      <c r="I167" s="48" t="s">
        <v>153</v>
      </c>
      <c r="J167" s="48" t="s">
        <v>154</v>
      </c>
    </row>
    <row r="168" spans="2:10">
      <c r="B168" s="33"/>
      <c r="C168" s="34"/>
      <c r="D168" s="34"/>
      <c r="E168" s="34"/>
      <c r="F168" s="34"/>
      <c r="G168" s="34"/>
      <c r="H168" s="34"/>
      <c r="I168" s="34"/>
      <c r="J168" s="34"/>
    </row>
    <row r="169" spans="2:10">
      <c r="B169" s="45" t="s">
        <v>13</v>
      </c>
      <c r="C169" s="39"/>
      <c r="D169" s="39" t="s">
        <v>155</v>
      </c>
      <c r="E169" s="39"/>
      <c r="F169" s="39" t="s">
        <v>156</v>
      </c>
      <c r="G169" s="39" t="s">
        <v>157</v>
      </c>
      <c r="H169" s="39"/>
      <c r="I169" s="39"/>
      <c r="J169" s="40"/>
    </row>
    <row r="170" spans="2:10">
      <c r="B170" s="45"/>
      <c r="C170" s="41"/>
      <c r="D170" s="42">
        <f>SUM(0)</f>
        <v>0</v>
      </c>
      <c r="E170" s="42"/>
      <c r="F170" s="42">
        <f>SUM(F168)</f>
        <v>0</v>
      </c>
      <c r="G170" s="42">
        <f>SUM(G168)</f>
        <v>0</v>
      </c>
      <c r="H170" s="41"/>
      <c r="I170" s="41"/>
      <c r="J170" s="43"/>
    </row>
  </sheetData>
  <mergeCells count="201">
    <mergeCell ref="F5:G5"/>
    <mergeCell ref="F6:G6"/>
    <mergeCell ref="B38:E38"/>
    <mergeCell ref="F38:I38"/>
    <mergeCell ref="C39:D39"/>
    <mergeCell ref="G39:H39"/>
    <mergeCell ref="B40:B46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B49:B51"/>
    <mergeCell ref="C49:D49"/>
    <mergeCell ref="C50:D50"/>
    <mergeCell ref="C51:D51"/>
    <mergeCell ref="B52:B54"/>
    <mergeCell ref="C52:D52"/>
    <mergeCell ref="C53:D53"/>
    <mergeCell ref="C54:D54"/>
    <mergeCell ref="B55:B100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B106:D106"/>
    <mergeCell ref="F106:H106"/>
    <mergeCell ref="B107:I107"/>
    <mergeCell ref="B108:I108"/>
    <mergeCell ref="C113:D113"/>
    <mergeCell ref="C114:D114"/>
    <mergeCell ref="B115:B116"/>
    <mergeCell ref="C115:D115"/>
    <mergeCell ref="C116:D116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B162:B163"/>
    <mergeCell ref="D162:E162"/>
    <mergeCell ref="D163:E163"/>
    <mergeCell ref="D167:E167"/>
    <mergeCell ref="D168:E168"/>
    <mergeCell ref="B169:B170"/>
    <mergeCell ref="D169:E169"/>
    <mergeCell ref="D170:E1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08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158</v>
      </c>
      <c r="B1" s="49" t="s">
        <v>159</v>
      </c>
      <c r="C1" s="49" t="s">
        <v>160</v>
      </c>
      <c r="D1" s="49" t="s">
        <v>161</v>
      </c>
      <c r="E1" s="49" t="s">
        <v>162</v>
      </c>
      <c r="F1" s="49" t="s">
        <v>163</v>
      </c>
      <c r="G1" s="49" t="s">
        <v>55</v>
      </c>
      <c r="H1" s="49" t="s">
        <v>164</v>
      </c>
      <c r="I1" s="49" t="s">
        <v>165</v>
      </c>
      <c r="J1" s="49" t="s">
        <v>166</v>
      </c>
    </row>
    <row r="2" spans="1:10">
      <c r="A2" s="50">
        <v>46130</v>
      </c>
      <c r="B2" s="51">
        <v>0.8330208333333333</v>
      </c>
      <c r="C2" t="s">
        <v>167</v>
      </c>
      <c r="D2" t="s">
        <v>46</v>
      </c>
      <c r="E2" t="s">
        <v>168</v>
      </c>
      <c r="F2" t="s">
        <v>169</v>
      </c>
      <c r="G2">
        <v>-4200</v>
      </c>
      <c r="H2" t="s">
        <v>170</v>
      </c>
      <c r="I2" t="s">
        <v>171</v>
      </c>
    </row>
    <row r="3" spans="1:10">
      <c r="A3" s="50">
        <v>46130</v>
      </c>
      <c r="B3" s="51">
        <v>0.8193287037037037</v>
      </c>
      <c r="C3" t="s">
        <v>172</v>
      </c>
      <c r="D3" t="s">
        <v>172</v>
      </c>
      <c r="E3" t="s">
        <v>173</v>
      </c>
      <c r="F3" t="s">
        <v>174</v>
      </c>
      <c r="G3">
        <v>14000</v>
      </c>
      <c r="H3" t="s">
        <v>170</v>
      </c>
      <c r="I3" t="s">
        <v>175</v>
      </c>
    </row>
    <row r="4" spans="1:10">
      <c r="A4" s="50">
        <v>46130</v>
      </c>
      <c r="B4" s="51">
        <v>0.8185763888888888</v>
      </c>
      <c r="C4" t="s">
        <v>167</v>
      </c>
      <c r="D4" t="s">
        <v>40</v>
      </c>
      <c r="E4" t="s">
        <v>176</v>
      </c>
      <c r="F4" t="s">
        <v>177</v>
      </c>
      <c r="G4">
        <v>-28000</v>
      </c>
      <c r="H4" t="s">
        <v>170</v>
      </c>
      <c r="I4" t="s">
        <v>171</v>
      </c>
    </row>
    <row r="5" spans="1:10">
      <c r="A5" s="50">
        <v>46130</v>
      </c>
      <c r="B5" s="51">
        <v>0.6138888888888889</v>
      </c>
      <c r="C5" t="s">
        <v>167</v>
      </c>
      <c r="D5" t="s">
        <v>46</v>
      </c>
      <c r="E5" t="s">
        <v>168</v>
      </c>
      <c r="F5" t="s">
        <v>178</v>
      </c>
      <c r="G5">
        <v>-500</v>
      </c>
      <c r="H5" t="s">
        <v>170</v>
      </c>
      <c r="I5" t="s">
        <v>171</v>
      </c>
    </row>
    <row r="6" spans="1:10">
      <c r="A6" s="50">
        <v>46129</v>
      </c>
      <c r="B6" s="51">
        <v>0.8412384259259259</v>
      </c>
      <c r="C6" t="s">
        <v>167</v>
      </c>
      <c r="D6" t="s">
        <v>43</v>
      </c>
      <c r="E6" t="s">
        <v>179</v>
      </c>
      <c r="F6" t="s">
        <v>180</v>
      </c>
      <c r="G6">
        <v>-58333</v>
      </c>
      <c r="H6" t="s">
        <v>170</v>
      </c>
      <c r="I6" t="s">
        <v>171</v>
      </c>
    </row>
    <row r="7" spans="1:10">
      <c r="A7" s="50">
        <v>46129</v>
      </c>
      <c r="B7" s="51">
        <v>0.8254513888888889</v>
      </c>
      <c r="C7" t="s">
        <v>167</v>
      </c>
      <c r="D7" t="s">
        <v>38</v>
      </c>
      <c r="E7" t="s">
        <v>181</v>
      </c>
      <c r="F7" t="s">
        <v>182</v>
      </c>
      <c r="G7">
        <v>-5000</v>
      </c>
      <c r="H7" t="s">
        <v>170</v>
      </c>
      <c r="I7" t="s">
        <v>171</v>
      </c>
    </row>
    <row r="8" spans="1:10">
      <c r="A8" s="50">
        <v>46129</v>
      </c>
      <c r="B8" s="51">
        <v>0.7517013888888889</v>
      </c>
      <c r="C8" t="s">
        <v>167</v>
      </c>
      <c r="D8" t="s">
        <v>47</v>
      </c>
      <c r="E8" t="s">
        <v>183</v>
      </c>
      <c r="F8" t="s">
        <v>184</v>
      </c>
      <c r="G8">
        <v>-18700</v>
      </c>
      <c r="H8" t="s">
        <v>170</v>
      </c>
      <c r="I8" t="s">
        <v>171</v>
      </c>
    </row>
    <row r="9" spans="1:10">
      <c r="A9" s="50">
        <v>46129</v>
      </c>
      <c r="B9" s="51">
        <v>0.5674189814814815</v>
      </c>
      <c r="C9" t="s">
        <v>167</v>
      </c>
      <c r="D9" t="s">
        <v>45</v>
      </c>
      <c r="E9" t="s">
        <v>185</v>
      </c>
      <c r="F9" t="s">
        <v>186</v>
      </c>
      <c r="G9">
        <v>-42900</v>
      </c>
      <c r="H9" t="s">
        <v>170</v>
      </c>
      <c r="I9" t="s">
        <v>187</v>
      </c>
    </row>
    <row r="10" spans="1:10">
      <c r="A10" s="50">
        <v>46128</v>
      </c>
      <c r="B10" s="51">
        <v>0.718912037037037</v>
      </c>
      <c r="C10" t="s">
        <v>167</v>
      </c>
      <c r="D10" t="s">
        <v>42</v>
      </c>
      <c r="E10" t="s">
        <v>188</v>
      </c>
      <c r="F10" t="s">
        <v>189</v>
      </c>
      <c r="G10">
        <v>-4900</v>
      </c>
      <c r="H10" t="s">
        <v>170</v>
      </c>
      <c r="I10" t="s">
        <v>171</v>
      </c>
    </row>
    <row r="11" spans="1:10">
      <c r="A11" s="50">
        <v>46128</v>
      </c>
      <c r="B11" s="51">
        <v>0.4325347222222222</v>
      </c>
      <c r="C11" t="s">
        <v>172</v>
      </c>
      <c r="D11" t="s">
        <v>190</v>
      </c>
      <c r="E11" t="s">
        <v>173</v>
      </c>
      <c r="F11" t="s">
        <v>191</v>
      </c>
      <c r="G11">
        <v>1</v>
      </c>
      <c r="H11" t="s">
        <v>170</v>
      </c>
      <c r="I11" t="s">
        <v>61</v>
      </c>
    </row>
    <row r="12" spans="1:10">
      <c r="A12" s="50">
        <v>46127</v>
      </c>
      <c r="B12" s="51">
        <v>0.8420717592592593</v>
      </c>
      <c r="C12" t="s">
        <v>167</v>
      </c>
      <c r="D12" t="s">
        <v>38</v>
      </c>
      <c r="E12" t="s">
        <v>181</v>
      </c>
      <c r="F12" t="s">
        <v>192</v>
      </c>
      <c r="G12">
        <v>-2300</v>
      </c>
      <c r="H12" t="s">
        <v>170</v>
      </c>
      <c r="I12" t="s">
        <v>171</v>
      </c>
    </row>
    <row r="13" spans="1:10">
      <c r="A13" s="50">
        <v>46127</v>
      </c>
      <c r="B13" s="51">
        <v>0.5237384259259259</v>
      </c>
      <c r="C13" t="s">
        <v>167</v>
      </c>
      <c r="D13" t="s">
        <v>40</v>
      </c>
      <c r="E13" t="s">
        <v>193</v>
      </c>
      <c r="F13" t="s">
        <v>194</v>
      </c>
      <c r="G13">
        <v>-37500</v>
      </c>
      <c r="H13" t="s">
        <v>170</v>
      </c>
      <c r="I13" t="s">
        <v>171</v>
      </c>
    </row>
    <row r="14" spans="1:10">
      <c r="A14" s="50">
        <v>46127</v>
      </c>
      <c r="B14" s="51">
        <v>0.4269560185185185</v>
      </c>
      <c r="C14" t="s">
        <v>172</v>
      </c>
      <c r="D14" t="s">
        <v>195</v>
      </c>
      <c r="E14" t="s">
        <v>173</v>
      </c>
      <c r="F14" t="s">
        <v>196</v>
      </c>
      <c r="G14">
        <v>-1500000</v>
      </c>
      <c r="H14" t="s">
        <v>170</v>
      </c>
      <c r="I14" t="s">
        <v>61</v>
      </c>
    </row>
    <row r="15" spans="1:10">
      <c r="A15" s="50">
        <v>46127</v>
      </c>
      <c r="B15" s="51">
        <v>0.3402777777777778</v>
      </c>
      <c r="C15" t="s">
        <v>167</v>
      </c>
      <c r="D15" t="s">
        <v>35</v>
      </c>
      <c r="E15" t="s">
        <v>197</v>
      </c>
      <c r="F15" t="s">
        <v>198</v>
      </c>
      <c r="G15">
        <v>-12000</v>
      </c>
      <c r="H15" t="s">
        <v>170</v>
      </c>
      <c r="I15" t="s">
        <v>199</v>
      </c>
    </row>
    <row r="16" spans="1:10">
      <c r="A16" s="50">
        <v>46127</v>
      </c>
      <c r="B16" s="51">
        <v>0.1296412037037037</v>
      </c>
      <c r="C16" t="s">
        <v>172</v>
      </c>
      <c r="D16" t="s">
        <v>200</v>
      </c>
      <c r="E16" t="s">
        <v>173</v>
      </c>
      <c r="F16" t="s">
        <v>201</v>
      </c>
      <c r="G16">
        <v>-2365698</v>
      </c>
      <c r="H16" t="s">
        <v>170</v>
      </c>
      <c r="I16" t="s">
        <v>61</v>
      </c>
    </row>
    <row r="17" spans="1:9">
      <c r="A17" s="50">
        <v>46126</v>
      </c>
      <c r="B17" s="51">
        <v>0.8152199074074075</v>
      </c>
      <c r="C17" t="s">
        <v>172</v>
      </c>
      <c r="D17" t="s">
        <v>172</v>
      </c>
      <c r="E17" t="s">
        <v>173</v>
      </c>
      <c r="F17" t="s">
        <v>202</v>
      </c>
      <c r="G17">
        <v>-100000</v>
      </c>
      <c r="H17" t="s">
        <v>170</v>
      </c>
      <c r="I17" t="s">
        <v>61</v>
      </c>
    </row>
    <row r="18" spans="1:9">
      <c r="A18" s="50">
        <v>46126</v>
      </c>
      <c r="B18" s="51">
        <v>0.7593865740740741</v>
      </c>
      <c r="C18" t="s">
        <v>167</v>
      </c>
      <c r="D18" t="s">
        <v>43</v>
      </c>
      <c r="E18" t="s">
        <v>203</v>
      </c>
      <c r="F18" t="s">
        <v>204</v>
      </c>
      <c r="G18">
        <v>-31000</v>
      </c>
      <c r="H18" t="s">
        <v>170</v>
      </c>
      <c r="I18" t="s">
        <v>171</v>
      </c>
    </row>
    <row r="19" spans="1:9">
      <c r="A19" s="50">
        <v>46126</v>
      </c>
      <c r="B19" s="51">
        <v>0.734837962962963</v>
      </c>
      <c r="C19" t="s">
        <v>167</v>
      </c>
      <c r="D19" t="s">
        <v>47</v>
      </c>
      <c r="E19" t="s">
        <v>183</v>
      </c>
      <c r="F19" t="s">
        <v>184</v>
      </c>
      <c r="G19">
        <v>-7500</v>
      </c>
      <c r="H19" t="s">
        <v>170</v>
      </c>
      <c r="I19" t="s">
        <v>171</v>
      </c>
    </row>
    <row r="20" spans="1:9">
      <c r="A20" s="50">
        <v>46126</v>
      </c>
      <c r="B20" s="51">
        <v>0.5263657407407407</v>
      </c>
      <c r="C20" t="s">
        <v>167</v>
      </c>
      <c r="D20" t="s">
        <v>40</v>
      </c>
      <c r="E20" t="s">
        <v>176</v>
      </c>
      <c r="F20" t="s">
        <v>205</v>
      </c>
      <c r="G20">
        <v>-9000</v>
      </c>
      <c r="H20" t="s">
        <v>170</v>
      </c>
      <c r="I20" t="s">
        <v>171</v>
      </c>
    </row>
    <row r="21" spans="1:9">
      <c r="A21" s="50">
        <v>46126</v>
      </c>
      <c r="B21" s="51">
        <v>0.4447569444444445</v>
      </c>
      <c r="C21" t="s">
        <v>167</v>
      </c>
      <c r="D21" t="s">
        <v>34</v>
      </c>
      <c r="E21" t="s">
        <v>206</v>
      </c>
      <c r="F21" t="s">
        <v>207</v>
      </c>
      <c r="G21">
        <v>-600</v>
      </c>
      <c r="H21" t="s">
        <v>170</v>
      </c>
      <c r="I21" t="s">
        <v>171</v>
      </c>
    </row>
    <row r="22" spans="1:9">
      <c r="A22" s="50">
        <v>46126</v>
      </c>
      <c r="B22" s="51">
        <v>0.4356134259259259</v>
      </c>
      <c r="C22" t="s">
        <v>167</v>
      </c>
      <c r="D22" t="s">
        <v>34</v>
      </c>
      <c r="E22" t="s">
        <v>208</v>
      </c>
      <c r="F22" t="s">
        <v>209</v>
      </c>
      <c r="G22">
        <v>-300</v>
      </c>
      <c r="H22" t="s">
        <v>170</v>
      </c>
      <c r="I22" t="s">
        <v>171</v>
      </c>
    </row>
    <row r="23" spans="1:9">
      <c r="A23" s="50">
        <v>46125</v>
      </c>
      <c r="B23" s="51">
        <v>0.9990856481481482</v>
      </c>
      <c r="C23" t="s">
        <v>167</v>
      </c>
      <c r="D23" t="s">
        <v>41</v>
      </c>
      <c r="E23" t="s">
        <v>210</v>
      </c>
      <c r="F23" t="s">
        <v>211</v>
      </c>
      <c r="G23">
        <v>-174546</v>
      </c>
      <c r="H23" t="s">
        <v>170</v>
      </c>
      <c r="I23" t="s">
        <v>171</v>
      </c>
    </row>
    <row r="24" spans="1:9">
      <c r="A24" s="50">
        <v>46125</v>
      </c>
      <c r="B24" s="51">
        <v>0.9121759259259259</v>
      </c>
      <c r="C24" t="s">
        <v>167</v>
      </c>
      <c r="D24" t="s">
        <v>33</v>
      </c>
      <c r="E24" t="s">
        <v>212</v>
      </c>
      <c r="F24" t="s">
        <v>213</v>
      </c>
      <c r="G24">
        <v>-34000</v>
      </c>
      <c r="H24" t="s">
        <v>170</v>
      </c>
      <c r="I24" t="s">
        <v>171</v>
      </c>
    </row>
    <row r="25" spans="1:9">
      <c r="A25" s="50">
        <v>46125</v>
      </c>
      <c r="B25" s="51">
        <v>0.8869212962962963</v>
      </c>
      <c r="C25" t="s">
        <v>167</v>
      </c>
      <c r="D25" t="s">
        <v>40</v>
      </c>
      <c r="E25" t="s">
        <v>176</v>
      </c>
      <c r="F25" t="s">
        <v>214</v>
      </c>
      <c r="G25">
        <v>-27500</v>
      </c>
      <c r="H25" t="s">
        <v>170</v>
      </c>
      <c r="I25" t="s">
        <v>171</v>
      </c>
    </row>
    <row r="26" spans="1:9">
      <c r="A26" s="50">
        <v>46125</v>
      </c>
      <c r="B26" s="51">
        <v>0.7575578703703704</v>
      </c>
      <c r="C26" t="s">
        <v>172</v>
      </c>
      <c r="D26" t="s">
        <v>195</v>
      </c>
      <c r="E26" t="s">
        <v>173</v>
      </c>
      <c r="F26" t="s">
        <v>7</v>
      </c>
      <c r="G26">
        <v>700000</v>
      </c>
      <c r="H26" t="s">
        <v>170</v>
      </c>
      <c r="I26" t="s">
        <v>67</v>
      </c>
    </row>
    <row r="27" spans="1:9">
      <c r="A27" s="50">
        <v>46125</v>
      </c>
      <c r="B27" s="51">
        <v>0.7575578703703704</v>
      </c>
      <c r="C27" t="s">
        <v>172</v>
      </c>
      <c r="D27" t="s">
        <v>195</v>
      </c>
      <c r="E27" t="s">
        <v>173</v>
      </c>
      <c r="F27" t="s">
        <v>215</v>
      </c>
      <c r="G27">
        <v>-700000</v>
      </c>
      <c r="H27" t="s">
        <v>170</v>
      </c>
      <c r="I27" t="s">
        <v>59</v>
      </c>
    </row>
    <row r="28" spans="1:9">
      <c r="A28" s="50">
        <v>46125</v>
      </c>
      <c r="B28" s="51">
        <v>0.5900462962962963</v>
      </c>
      <c r="C28" t="s">
        <v>167</v>
      </c>
      <c r="D28" t="s">
        <v>34</v>
      </c>
      <c r="E28" t="s">
        <v>208</v>
      </c>
      <c r="F28" t="s">
        <v>216</v>
      </c>
      <c r="G28">
        <v>-200000</v>
      </c>
      <c r="H28" t="s">
        <v>170</v>
      </c>
      <c r="I28" t="s">
        <v>61</v>
      </c>
    </row>
    <row r="29" spans="1:9">
      <c r="A29" s="50">
        <v>46124</v>
      </c>
      <c r="B29" s="51">
        <v>0.5457638888888889</v>
      </c>
      <c r="C29" t="s">
        <v>167</v>
      </c>
      <c r="D29" t="s">
        <v>42</v>
      </c>
      <c r="E29" t="s">
        <v>217</v>
      </c>
      <c r="F29" t="s">
        <v>218</v>
      </c>
      <c r="G29">
        <v>-33567</v>
      </c>
      <c r="H29" t="s">
        <v>170</v>
      </c>
      <c r="I29" t="s">
        <v>61</v>
      </c>
    </row>
    <row r="30" spans="1:9">
      <c r="A30" s="50">
        <v>46123</v>
      </c>
      <c r="B30" s="51">
        <v>0.2708912037037037</v>
      </c>
      <c r="C30" t="s">
        <v>167</v>
      </c>
      <c r="D30" t="s">
        <v>34</v>
      </c>
      <c r="E30" t="s">
        <v>208</v>
      </c>
      <c r="F30" t="s">
        <v>216</v>
      </c>
      <c r="G30">
        <v>-500000</v>
      </c>
      <c r="H30" t="s">
        <v>170</v>
      </c>
      <c r="I30" t="s">
        <v>61</v>
      </c>
    </row>
    <row r="31" spans="1:9">
      <c r="A31" s="50">
        <v>46123</v>
      </c>
      <c r="B31" s="51">
        <v>0.2578703703703704</v>
      </c>
      <c r="C31" t="s">
        <v>167</v>
      </c>
      <c r="D31" t="s">
        <v>46</v>
      </c>
      <c r="E31" t="s">
        <v>219</v>
      </c>
      <c r="F31" t="s">
        <v>220</v>
      </c>
      <c r="G31">
        <v>-35400</v>
      </c>
      <c r="H31" t="s">
        <v>170</v>
      </c>
      <c r="I31" t="s">
        <v>171</v>
      </c>
    </row>
    <row r="32" spans="1:9">
      <c r="A32" s="50">
        <v>46122</v>
      </c>
      <c r="B32" s="51">
        <v>0.7867013888888889</v>
      </c>
      <c r="C32" t="s">
        <v>167</v>
      </c>
      <c r="D32" t="s">
        <v>38</v>
      </c>
      <c r="E32" t="s">
        <v>221</v>
      </c>
      <c r="F32" t="s">
        <v>222</v>
      </c>
      <c r="G32">
        <v>-2000</v>
      </c>
      <c r="H32" t="s">
        <v>170</v>
      </c>
      <c r="I32" t="s">
        <v>171</v>
      </c>
    </row>
    <row r="33" spans="1:9">
      <c r="A33" s="50">
        <v>46122</v>
      </c>
      <c r="B33" s="51">
        <v>0.7708912037037037</v>
      </c>
      <c r="C33" t="s">
        <v>167</v>
      </c>
      <c r="D33" t="s">
        <v>42</v>
      </c>
      <c r="E33" t="s">
        <v>188</v>
      </c>
      <c r="F33" t="s">
        <v>189</v>
      </c>
      <c r="G33">
        <v>-58850</v>
      </c>
      <c r="H33" t="s">
        <v>170</v>
      </c>
      <c r="I33" t="s">
        <v>171</v>
      </c>
    </row>
    <row r="34" spans="1:9">
      <c r="A34" s="50">
        <v>46121</v>
      </c>
      <c r="B34" s="51">
        <v>0.7449421296296296</v>
      </c>
      <c r="C34" t="s">
        <v>167</v>
      </c>
      <c r="D34" t="s">
        <v>47</v>
      </c>
      <c r="E34" t="s">
        <v>183</v>
      </c>
      <c r="F34" t="s">
        <v>184</v>
      </c>
      <c r="G34">
        <v>-7500</v>
      </c>
      <c r="H34" t="s">
        <v>170</v>
      </c>
      <c r="I34" t="s">
        <v>171</v>
      </c>
    </row>
    <row r="35" spans="1:9">
      <c r="A35" s="50">
        <v>46120</v>
      </c>
      <c r="B35" s="51">
        <v>0.9146527777777778</v>
      </c>
      <c r="C35" t="s">
        <v>167</v>
      </c>
      <c r="D35" t="s">
        <v>38</v>
      </c>
      <c r="E35" t="s">
        <v>223</v>
      </c>
      <c r="F35" t="s">
        <v>224</v>
      </c>
      <c r="G35">
        <v>-39900</v>
      </c>
      <c r="H35" t="s">
        <v>170</v>
      </c>
      <c r="I35" t="s">
        <v>171</v>
      </c>
    </row>
    <row r="36" spans="1:9">
      <c r="A36" s="50">
        <v>46120</v>
      </c>
      <c r="B36" s="51">
        <v>0.9094560185185185</v>
      </c>
      <c r="C36" t="s">
        <v>167</v>
      </c>
      <c r="D36" t="s">
        <v>38</v>
      </c>
      <c r="E36" t="s">
        <v>223</v>
      </c>
      <c r="F36" t="s">
        <v>224</v>
      </c>
      <c r="G36">
        <v>-139700</v>
      </c>
      <c r="H36" t="s">
        <v>170</v>
      </c>
      <c r="I36" t="s">
        <v>171</v>
      </c>
    </row>
    <row r="37" spans="1:9">
      <c r="A37" s="50">
        <v>46120</v>
      </c>
      <c r="B37" s="51">
        <v>0.8428472222222222</v>
      </c>
      <c r="C37" t="s">
        <v>167</v>
      </c>
      <c r="D37" t="s">
        <v>35</v>
      </c>
      <c r="E37" t="s">
        <v>225</v>
      </c>
      <c r="F37" t="s">
        <v>226</v>
      </c>
      <c r="G37">
        <v>-167400</v>
      </c>
      <c r="H37" t="s">
        <v>170</v>
      </c>
      <c r="I37" t="s">
        <v>171</v>
      </c>
    </row>
    <row r="38" spans="1:9">
      <c r="A38" s="50">
        <v>46120</v>
      </c>
      <c r="B38" s="51">
        <v>0.760150462962963</v>
      </c>
      <c r="C38" t="s">
        <v>167</v>
      </c>
      <c r="D38" t="s">
        <v>35</v>
      </c>
      <c r="E38" t="s">
        <v>225</v>
      </c>
      <c r="F38" t="s">
        <v>226</v>
      </c>
      <c r="G38">
        <v>-47000</v>
      </c>
      <c r="H38" t="s">
        <v>170</v>
      </c>
      <c r="I38" t="s">
        <v>171</v>
      </c>
    </row>
    <row r="39" spans="1:9">
      <c r="A39" s="50">
        <v>46119</v>
      </c>
      <c r="B39" s="51">
        <v>0.5479398148148148</v>
      </c>
      <c r="C39" t="s">
        <v>167</v>
      </c>
      <c r="D39" t="s">
        <v>40</v>
      </c>
      <c r="E39" t="s">
        <v>176</v>
      </c>
      <c r="F39" t="s">
        <v>227</v>
      </c>
      <c r="G39">
        <v>-9000</v>
      </c>
      <c r="H39" t="s">
        <v>170</v>
      </c>
      <c r="I39" t="s">
        <v>171</v>
      </c>
    </row>
    <row r="40" spans="1:9">
      <c r="A40" s="50">
        <v>46119</v>
      </c>
      <c r="B40" s="51">
        <v>0.4229513888888889</v>
      </c>
      <c r="C40" t="s">
        <v>167</v>
      </c>
      <c r="D40" t="s">
        <v>42</v>
      </c>
      <c r="E40" t="s">
        <v>217</v>
      </c>
      <c r="F40" t="s">
        <v>228</v>
      </c>
      <c r="G40">
        <v>-100000</v>
      </c>
      <c r="H40" t="s">
        <v>170</v>
      </c>
      <c r="I40" t="s">
        <v>61</v>
      </c>
    </row>
    <row r="41" spans="1:9">
      <c r="A41" s="50">
        <v>46119</v>
      </c>
      <c r="B41" s="51">
        <v>0.3319328703703704</v>
      </c>
      <c r="C41" t="s">
        <v>167</v>
      </c>
      <c r="D41" t="s">
        <v>38</v>
      </c>
      <c r="E41" t="s">
        <v>181</v>
      </c>
      <c r="F41" t="s">
        <v>229</v>
      </c>
      <c r="G41">
        <v>-5100</v>
      </c>
      <c r="H41" t="s">
        <v>170</v>
      </c>
      <c r="I41" t="s">
        <v>171</v>
      </c>
    </row>
    <row r="42" spans="1:9">
      <c r="A42" s="50">
        <v>46118</v>
      </c>
      <c r="B42" s="51">
        <v>0.7594097222222222</v>
      </c>
      <c r="C42" t="s">
        <v>167</v>
      </c>
      <c r="D42" t="s">
        <v>40</v>
      </c>
      <c r="E42" t="s">
        <v>176</v>
      </c>
      <c r="F42" t="s">
        <v>230</v>
      </c>
      <c r="G42">
        <v>-5500</v>
      </c>
      <c r="H42" t="s">
        <v>170</v>
      </c>
      <c r="I42" t="s">
        <v>171</v>
      </c>
    </row>
    <row r="43" spans="1:9">
      <c r="A43" s="50">
        <v>46117</v>
      </c>
      <c r="B43" s="51">
        <v>0.8674884259259259</v>
      </c>
      <c r="C43" t="s">
        <v>167</v>
      </c>
      <c r="D43" t="s">
        <v>42</v>
      </c>
      <c r="E43" t="s">
        <v>188</v>
      </c>
      <c r="F43" t="s">
        <v>231</v>
      </c>
      <c r="G43">
        <v>-14900</v>
      </c>
      <c r="H43" t="s">
        <v>170</v>
      </c>
      <c r="I43" t="s">
        <v>187</v>
      </c>
    </row>
    <row r="44" spans="1:9">
      <c r="A44" s="50">
        <v>46117</v>
      </c>
      <c r="B44" s="51">
        <v>0.7876041666666667</v>
      </c>
      <c r="C44" t="s">
        <v>167</v>
      </c>
      <c r="D44" t="s">
        <v>38</v>
      </c>
      <c r="E44" t="s">
        <v>181</v>
      </c>
      <c r="F44" t="s">
        <v>232</v>
      </c>
      <c r="G44">
        <v>-5400</v>
      </c>
      <c r="H44" t="s">
        <v>170</v>
      </c>
      <c r="I44" t="s">
        <v>171</v>
      </c>
    </row>
    <row r="45" spans="1:9">
      <c r="A45" s="50">
        <v>46117</v>
      </c>
      <c r="B45" s="51">
        <v>0.7800810185185185</v>
      </c>
      <c r="C45" t="s">
        <v>172</v>
      </c>
      <c r="D45" t="s">
        <v>172</v>
      </c>
      <c r="E45" t="s">
        <v>173</v>
      </c>
      <c r="F45" t="s">
        <v>202</v>
      </c>
      <c r="G45">
        <v>-100000</v>
      </c>
      <c r="H45" t="s">
        <v>170</v>
      </c>
      <c r="I45" t="s">
        <v>61</v>
      </c>
    </row>
    <row r="46" spans="1:9">
      <c r="A46" s="50">
        <v>46117</v>
      </c>
      <c r="B46" s="51">
        <v>0.7791550925925926</v>
      </c>
      <c r="C46" t="s">
        <v>233</v>
      </c>
      <c r="D46" t="s">
        <v>29</v>
      </c>
      <c r="E46" t="s">
        <v>173</v>
      </c>
      <c r="F46" t="s">
        <v>234</v>
      </c>
      <c r="G46">
        <v>1</v>
      </c>
      <c r="H46" t="s">
        <v>170</v>
      </c>
      <c r="I46" t="s">
        <v>61</v>
      </c>
    </row>
    <row r="47" spans="1:9">
      <c r="A47" s="50">
        <v>46117</v>
      </c>
      <c r="B47" s="51">
        <v>0.6901157407407408</v>
      </c>
      <c r="C47" t="s">
        <v>167</v>
      </c>
      <c r="D47" t="s">
        <v>42</v>
      </c>
      <c r="E47" t="s">
        <v>235</v>
      </c>
      <c r="F47" t="s">
        <v>236</v>
      </c>
      <c r="G47">
        <v>-9500</v>
      </c>
      <c r="H47" t="s">
        <v>170</v>
      </c>
      <c r="I47" t="s">
        <v>237</v>
      </c>
    </row>
    <row r="48" spans="1:9">
      <c r="A48" s="50">
        <v>46117</v>
      </c>
      <c r="B48" s="51">
        <v>0.6006365740740741</v>
      </c>
      <c r="C48" t="s">
        <v>167</v>
      </c>
      <c r="D48" t="s">
        <v>47</v>
      </c>
      <c r="E48" t="s">
        <v>238</v>
      </c>
      <c r="F48" t="s">
        <v>239</v>
      </c>
      <c r="G48">
        <v>-3900</v>
      </c>
      <c r="H48" t="s">
        <v>170</v>
      </c>
      <c r="I48" t="s">
        <v>171</v>
      </c>
    </row>
    <row r="49" spans="1:9">
      <c r="A49" s="50">
        <v>46117</v>
      </c>
      <c r="B49" s="51">
        <v>0.5906944444444444</v>
      </c>
      <c r="C49" t="s">
        <v>167</v>
      </c>
      <c r="D49" t="s">
        <v>37</v>
      </c>
      <c r="E49" t="s">
        <v>240</v>
      </c>
      <c r="F49" t="s">
        <v>241</v>
      </c>
      <c r="G49">
        <v>-600</v>
      </c>
      <c r="H49" t="s">
        <v>170</v>
      </c>
      <c r="I49" t="s">
        <v>171</v>
      </c>
    </row>
    <row r="50" spans="1:9">
      <c r="A50" s="50">
        <v>46117</v>
      </c>
      <c r="B50" s="51">
        <v>0.5701736111111111</v>
      </c>
      <c r="C50" t="s">
        <v>167</v>
      </c>
      <c r="D50" t="s">
        <v>42</v>
      </c>
      <c r="E50" t="s">
        <v>235</v>
      </c>
      <c r="F50" t="s">
        <v>242</v>
      </c>
      <c r="G50">
        <v>-20500</v>
      </c>
      <c r="H50" t="s">
        <v>170</v>
      </c>
      <c r="I50" t="s">
        <v>243</v>
      </c>
    </row>
    <row r="51" spans="1:9">
      <c r="A51" s="50">
        <v>46117</v>
      </c>
      <c r="B51" s="51">
        <v>0.5273032407407408</v>
      </c>
      <c r="C51" t="s">
        <v>167</v>
      </c>
      <c r="D51" t="s">
        <v>40</v>
      </c>
      <c r="E51" t="s">
        <v>244</v>
      </c>
      <c r="F51" t="s">
        <v>245</v>
      </c>
      <c r="G51">
        <v>-20400</v>
      </c>
      <c r="H51" t="s">
        <v>170</v>
      </c>
      <c r="I51" t="s">
        <v>171</v>
      </c>
    </row>
    <row r="52" spans="1:9">
      <c r="A52" s="50">
        <v>46117</v>
      </c>
      <c r="B52" s="51">
        <v>0.5228819444444445</v>
      </c>
      <c r="C52" t="s">
        <v>167</v>
      </c>
      <c r="D52" t="s">
        <v>38</v>
      </c>
      <c r="E52" t="s">
        <v>221</v>
      </c>
      <c r="F52" t="s">
        <v>222</v>
      </c>
      <c r="G52">
        <v>-11000</v>
      </c>
      <c r="H52" t="s">
        <v>170</v>
      </c>
      <c r="I52" t="s">
        <v>171</v>
      </c>
    </row>
    <row r="53" spans="1:9">
      <c r="A53" s="50">
        <v>46117</v>
      </c>
      <c r="B53" s="51">
        <v>0.4074652777777778</v>
      </c>
      <c r="C53" t="s">
        <v>167</v>
      </c>
      <c r="D53" t="s">
        <v>46</v>
      </c>
      <c r="E53" t="s">
        <v>168</v>
      </c>
      <c r="F53" t="s">
        <v>178</v>
      </c>
      <c r="G53">
        <v>-5600</v>
      </c>
      <c r="H53" t="s">
        <v>170</v>
      </c>
      <c r="I53" t="s">
        <v>171</v>
      </c>
    </row>
    <row r="54" spans="1:9">
      <c r="A54" s="50">
        <v>46116</v>
      </c>
      <c r="B54" s="51">
        <v>0.9331134259259259</v>
      </c>
      <c r="C54" t="s">
        <v>167</v>
      </c>
      <c r="D54" t="s">
        <v>34</v>
      </c>
      <c r="E54" t="s">
        <v>206</v>
      </c>
      <c r="F54" t="s">
        <v>246</v>
      </c>
      <c r="G54">
        <v>-5880</v>
      </c>
      <c r="H54" t="s">
        <v>170</v>
      </c>
      <c r="I54" t="s">
        <v>237</v>
      </c>
    </row>
    <row r="55" spans="1:9">
      <c r="A55" s="50">
        <v>46116</v>
      </c>
      <c r="B55" s="51">
        <v>0.8182291666666667</v>
      </c>
      <c r="C55" t="s">
        <v>167</v>
      </c>
      <c r="D55" t="s">
        <v>34</v>
      </c>
      <c r="E55" t="s">
        <v>206</v>
      </c>
      <c r="F55" t="s">
        <v>246</v>
      </c>
      <c r="G55">
        <v>-27840</v>
      </c>
      <c r="H55" t="s">
        <v>170</v>
      </c>
      <c r="I55" t="s">
        <v>237</v>
      </c>
    </row>
    <row r="56" spans="1:9">
      <c r="A56" s="50">
        <v>46116</v>
      </c>
      <c r="B56" s="51">
        <v>0.7922222222222223</v>
      </c>
      <c r="C56" t="s">
        <v>167</v>
      </c>
      <c r="D56" t="s">
        <v>42</v>
      </c>
      <c r="E56" t="s">
        <v>235</v>
      </c>
      <c r="F56" t="s">
        <v>247</v>
      </c>
      <c r="G56">
        <v>-7700</v>
      </c>
      <c r="H56" t="s">
        <v>170</v>
      </c>
      <c r="I56" t="s">
        <v>237</v>
      </c>
    </row>
    <row r="57" spans="1:9">
      <c r="A57" s="50">
        <v>46116</v>
      </c>
      <c r="B57" s="51">
        <v>0.7788657407407408</v>
      </c>
      <c r="C57" t="s">
        <v>172</v>
      </c>
      <c r="D57" t="s">
        <v>248</v>
      </c>
      <c r="E57" t="s">
        <v>173</v>
      </c>
      <c r="F57" t="s">
        <v>249</v>
      </c>
      <c r="G57">
        <v>1</v>
      </c>
      <c r="H57" t="s">
        <v>170</v>
      </c>
      <c r="I57" t="s">
        <v>61</v>
      </c>
    </row>
    <row r="58" spans="1:9">
      <c r="A58" s="50">
        <v>46116</v>
      </c>
      <c r="B58" s="51">
        <v>0.736724537037037</v>
      </c>
      <c r="C58" t="s">
        <v>167</v>
      </c>
      <c r="D58" t="s">
        <v>42</v>
      </c>
      <c r="E58" t="s">
        <v>235</v>
      </c>
      <c r="F58" t="s">
        <v>242</v>
      </c>
      <c r="G58">
        <v>-42190</v>
      </c>
      <c r="H58" t="s">
        <v>170</v>
      </c>
      <c r="I58" t="s">
        <v>243</v>
      </c>
    </row>
    <row r="59" spans="1:9">
      <c r="A59" s="50">
        <v>46116</v>
      </c>
      <c r="B59" s="51">
        <v>0.6850694444444444</v>
      </c>
      <c r="C59" t="s">
        <v>167</v>
      </c>
      <c r="D59" t="s">
        <v>46</v>
      </c>
      <c r="E59" t="s">
        <v>168</v>
      </c>
      <c r="F59" t="s">
        <v>250</v>
      </c>
      <c r="G59">
        <v>-12500</v>
      </c>
      <c r="H59" t="s">
        <v>170</v>
      </c>
      <c r="I59" t="s">
        <v>171</v>
      </c>
    </row>
    <row r="60" spans="1:9">
      <c r="A60" s="50">
        <v>46116</v>
      </c>
      <c r="B60" s="51">
        <v>0.4107407407407407</v>
      </c>
      <c r="C60" t="s">
        <v>167</v>
      </c>
      <c r="D60" t="s">
        <v>40</v>
      </c>
      <c r="E60" t="s">
        <v>244</v>
      </c>
      <c r="F60" t="s">
        <v>251</v>
      </c>
      <c r="G60">
        <v>-6400</v>
      </c>
      <c r="H60" t="s">
        <v>170</v>
      </c>
      <c r="I60" t="s">
        <v>171</v>
      </c>
    </row>
    <row r="61" spans="1:9">
      <c r="A61" s="50">
        <v>46116</v>
      </c>
      <c r="B61" s="51">
        <v>0.3920023148148148</v>
      </c>
      <c r="C61" t="s">
        <v>167</v>
      </c>
      <c r="D61" t="s">
        <v>40</v>
      </c>
      <c r="E61" t="s">
        <v>244</v>
      </c>
      <c r="F61" t="s">
        <v>251</v>
      </c>
      <c r="G61">
        <v>-11400</v>
      </c>
      <c r="H61" t="s">
        <v>170</v>
      </c>
      <c r="I61" t="s">
        <v>171</v>
      </c>
    </row>
    <row r="62" spans="1:9">
      <c r="A62" s="50">
        <v>46116</v>
      </c>
      <c r="B62" s="51">
        <v>0.03591435185185185</v>
      </c>
      <c r="C62" t="s">
        <v>167</v>
      </c>
      <c r="D62" t="s">
        <v>42</v>
      </c>
      <c r="E62" t="s">
        <v>188</v>
      </c>
      <c r="F62" t="s">
        <v>252</v>
      </c>
      <c r="G62">
        <v>-13500</v>
      </c>
      <c r="H62" t="s">
        <v>170</v>
      </c>
      <c r="I62" t="s">
        <v>253</v>
      </c>
    </row>
    <row r="63" spans="1:9">
      <c r="A63" s="50">
        <v>46115</v>
      </c>
      <c r="B63" s="51">
        <v>0.7352662037037037</v>
      </c>
      <c r="C63" t="s">
        <v>167</v>
      </c>
      <c r="D63" t="s">
        <v>40</v>
      </c>
      <c r="E63" t="s">
        <v>254</v>
      </c>
      <c r="F63" t="s">
        <v>255</v>
      </c>
      <c r="G63">
        <v>-21000</v>
      </c>
      <c r="H63" t="s">
        <v>170</v>
      </c>
      <c r="I63" t="s">
        <v>171</v>
      </c>
    </row>
    <row r="64" spans="1:9">
      <c r="A64" s="50">
        <v>46115</v>
      </c>
      <c r="B64" s="51">
        <v>0.6686458333333334</v>
      </c>
      <c r="C64" t="s">
        <v>167</v>
      </c>
      <c r="D64" t="s">
        <v>47</v>
      </c>
      <c r="E64" t="s">
        <v>183</v>
      </c>
      <c r="F64" t="s">
        <v>184</v>
      </c>
      <c r="G64">
        <v>-5800</v>
      </c>
      <c r="H64" t="s">
        <v>170</v>
      </c>
      <c r="I64" t="s">
        <v>171</v>
      </c>
    </row>
    <row r="65" spans="1:9">
      <c r="A65" s="50">
        <v>46115</v>
      </c>
      <c r="B65" s="51">
        <v>0.5255208333333333</v>
      </c>
      <c r="C65" t="s">
        <v>167</v>
      </c>
      <c r="D65" t="s">
        <v>40</v>
      </c>
      <c r="E65" t="s">
        <v>193</v>
      </c>
      <c r="F65" t="s">
        <v>194</v>
      </c>
      <c r="G65">
        <v>-37500</v>
      </c>
      <c r="H65" t="s">
        <v>170</v>
      </c>
      <c r="I65" t="s">
        <v>171</v>
      </c>
    </row>
    <row r="66" spans="1:9">
      <c r="A66" s="50">
        <v>46115</v>
      </c>
      <c r="B66" s="51">
        <v>0.4248379629629629</v>
      </c>
      <c r="C66" t="s">
        <v>167</v>
      </c>
      <c r="D66" t="s">
        <v>42</v>
      </c>
      <c r="E66" t="s">
        <v>188</v>
      </c>
      <c r="F66" t="s">
        <v>256</v>
      </c>
      <c r="G66">
        <v>-2990</v>
      </c>
      <c r="H66" t="s">
        <v>170</v>
      </c>
      <c r="I66" t="s">
        <v>237</v>
      </c>
    </row>
    <row r="67" spans="1:9">
      <c r="A67" s="50">
        <v>46114</v>
      </c>
      <c r="B67" s="51">
        <v>0.9496180555555556</v>
      </c>
      <c r="C67" t="s">
        <v>167</v>
      </c>
      <c r="D67" t="s">
        <v>33</v>
      </c>
      <c r="E67" t="s">
        <v>257</v>
      </c>
      <c r="F67" t="s">
        <v>258</v>
      </c>
      <c r="G67">
        <v>-7700</v>
      </c>
      <c r="H67" t="s">
        <v>170</v>
      </c>
      <c r="I67" t="s">
        <v>171</v>
      </c>
    </row>
    <row r="68" spans="1:9">
      <c r="A68" s="50">
        <v>46114</v>
      </c>
      <c r="B68" s="51">
        <v>0.8895833333333333</v>
      </c>
      <c r="C68" t="s">
        <v>167</v>
      </c>
      <c r="D68" t="s">
        <v>38</v>
      </c>
      <c r="E68" t="s">
        <v>259</v>
      </c>
      <c r="F68" t="s">
        <v>260</v>
      </c>
      <c r="G68">
        <v>-1500</v>
      </c>
      <c r="H68" t="s">
        <v>170</v>
      </c>
      <c r="I68" t="s">
        <v>171</v>
      </c>
    </row>
    <row r="69" spans="1:9">
      <c r="A69" s="50">
        <v>46114</v>
      </c>
      <c r="B69" s="51">
        <v>0.8748495370370371</v>
      </c>
      <c r="C69" t="s">
        <v>167</v>
      </c>
      <c r="D69" t="s">
        <v>38</v>
      </c>
      <c r="E69" t="s">
        <v>221</v>
      </c>
      <c r="F69" t="s">
        <v>222</v>
      </c>
      <c r="G69">
        <v>-8000</v>
      </c>
      <c r="H69" t="s">
        <v>170</v>
      </c>
      <c r="I69" t="s">
        <v>171</v>
      </c>
    </row>
    <row r="70" spans="1:9">
      <c r="A70" s="50">
        <v>46114</v>
      </c>
      <c r="B70" s="51">
        <v>0.7632523148148148</v>
      </c>
      <c r="C70" t="s">
        <v>167</v>
      </c>
      <c r="D70" t="s">
        <v>40</v>
      </c>
      <c r="E70" t="s">
        <v>261</v>
      </c>
      <c r="F70" t="s">
        <v>262</v>
      </c>
      <c r="G70">
        <v>-11500</v>
      </c>
      <c r="H70" t="s">
        <v>170</v>
      </c>
      <c r="I70" t="s">
        <v>243</v>
      </c>
    </row>
    <row r="71" spans="1:9">
      <c r="A71" s="50">
        <v>46114</v>
      </c>
      <c r="B71" s="51">
        <v>0.3310763888888889</v>
      </c>
      <c r="C71" t="s">
        <v>167</v>
      </c>
      <c r="D71" t="s">
        <v>38</v>
      </c>
      <c r="E71" t="s">
        <v>181</v>
      </c>
      <c r="F71" t="s">
        <v>229</v>
      </c>
      <c r="G71">
        <v>-2200</v>
      </c>
      <c r="H71" t="s">
        <v>170</v>
      </c>
      <c r="I71" t="s">
        <v>171</v>
      </c>
    </row>
    <row r="72" spans="1:9">
      <c r="A72" s="50">
        <v>46113</v>
      </c>
      <c r="B72" s="51">
        <v>0.9233564814814815</v>
      </c>
      <c r="C72" t="s">
        <v>167</v>
      </c>
      <c r="D72" t="s">
        <v>34</v>
      </c>
      <c r="E72" t="s">
        <v>208</v>
      </c>
      <c r="F72" t="s">
        <v>263</v>
      </c>
      <c r="G72">
        <v>-88000</v>
      </c>
      <c r="H72" t="s">
        <v>170</v>
      </c>
      <c r="I72" t="s">
        <v>175</v>
      </c>
    </row>
    <row r="73" spans="1:9">
      <c r="A73" s="50">
        <v>46113</v>
      </c>
      <c r="B73" s="51">
        <v>0.9233449074074074</v>
      </c>
      <c r="C73" t="s">
        <v>172</v>
      </c>
      <c r="D73" t="s">
        <v>195</v>
      </c>
      <c r="E73" t="s">
        <v>173</v>
      </c>
      <c r="F73" t="s">
        <v>264</v>
      </c>
      <c r="G73">
        <v>80500</v>
      </c>
      <c r="H73" t="s">
        <v>170</v>
      </c>
      <c r="I73" t="s">
        <v>175</v>
      </c>
    </row>
    <row r="74" spans="1:9">
      <c r="A74" s="50">
        <v>46113</v>
      </c>
      <c r="B74" s="51">
        <v>0.9233449074074074</v>
      </c>
      <c r="C74" t="s">
        <v>172</v>
      </c>
      <c r="D74" t="s">
        <v>195</v>
      </c>
      <c r="E74" t="s">
        <v>173</v>
      </c>
      <c r="F74" t="s">
        <v>265</v>
      </c>
      <c r="G74">
        <v>-80500</v>
      </c>
      <c r="H74" t="s">
        <v>170</v>
      </c>
      <c r="I74" t="s">
        <v>61</v>
      </c>
    </row>
    <row r="75" spans="1:9">
      <c r="A75" s="50">
        <v>46113</v>
      </c>
      <c r="B75" s="51">
        <v>0.7813078703703704</v>
      </c>
      <c r="C75" t="s">
        <v>167</v>
      </c>
      <c r="D75" t="s">
        <v>34</v>
      </c>
      <c r="E75" t="s">
        <v>206</v>
      </c>
      <c r="F75" t="s">
        <v>246</v>
      </c>
      <c r="G75">
        <v>-124160</v>
      </c>
      <c r="H75" t="s">
        <v>170</v>
      </c>
      <c r="I75" t="s">
        <v>237</v>
      </c>
    </row>
    <row r="76" spans="1:9">
      <c r="A76" s="50">
        <v>46113</v>
      </c>
      <c r="B76" s="51">
        <v>0.539375</v>
      </c>
      <c r="C76" t="s">
        <v>172</v>
      </c>
      <c r="D76" t="s">
        <v>172</v>
      </c>
      <c r="E76" t="s">
        <v>173</v>
      </c>
      <c r="F76" t="s">
        <v>266</v>
      </c>
      <c r="G76">
        <v>7500</v>
      </c>
      <c r="H76" t="s">
        <v>170</v>
      </c>
      <c r="I76" t="s">
        <v>175</v>
      </c>
    </row>
    <row r="77" spans="1:9">
      <c r="A77" s="50">
        <v>46113</v>
      </c>
      <c r="B77" s="51">
        <v>0.3961574074074074</v>
      </c>
      <c r="C77" t="s">
        <v>167</v>
      </c>
      <c r="D77" t="s">
        <v>46</v>
      </c>
      <c r="E77" t="s">
        <v>168</v>
      </c>
      <c r="F77" t="s">
        <v>267</v>
      </c>
      <c r="G77">
        <v>-5800</v>
      </c>
      <c r="H77" t="s">
        <v>170</v>
      </c>
      <c r="I77" t="s">
        <v>171</v>
      </c>
    </row>
    <row r="78" spans="1:9">
      <c r="A78" s="50">
        <v>46113</v>
      </c>
      <c r="B78" s="51">
        <v>0.3758449074074074</v>
      </c>
      <c r="C78" t="s">
        <v>172</v>
      </c>
      <c r="D78" t="s">
        <v>172</v>
      </c>
      <c r="E78" t="s">
        <v>173</v>
      </c>
      <c r="F78" t="s">
        <v>174</v>
      </c>
      <c r="G78">
        <v>-20000</v>
      </c>
      <c r="H78" t="s">
        <v>170</v>
      </c>
      <c r="I78" t="s">
        <v>175</v>
      </c>
    </row>
    <row r="79" spans="1:9">
      <c r="A79" s="50">
        <v>46113</v>
      </c>
      <c r="B79" s="51">
        <v>0.3758333333333334</v>
      </c>
      <c r="C79" t="s">
        <v>172</v>
      </c>
      <c r="D79" t="s">
        <v>195</v>
      </c>
      <c r="E79" t="s">
        <v>173</v>
      </c>
      <c r="F79" t="s">
        <v>264</v>
      </c>
      <c r="G79">
        <v>19498</v>
      </c>
      <c r="H79" t="s">
        <v>170</v>
      </c>
      <c r="I79" t="s">
        <v>175</v>
      </c>
    </row>
    <row r="80" spans="1:9">
      <c r="A80" s="50">
        <v>46113</v>
      </c>
      <c r="B80" s="51">
        <v>0.3758333333333334</v>
      </c>
      <c r="C80" t="s">
        <v>172</v>
      </c>
      <c r="D80" t="s">
        <v>195</v>
      </c>
      <c r="E80" t="s">
        <v>173</v>
      </c>
      <c r="F80" t="s">
        <v>265</v>
      </c>
      <c r="G80">
        <v>-19498</v>
      </c>
      <c r="H80" t="s">
        <v>170</v>
      </c>
      <c r="I80" t="s">
        <v>61</v>
      </c>
    </row>
    <row r="81" spans="1:9">
      <c r="A81" s="50">
        <v>46112</v>
      </c>
      <c r="B81" s="51">
        <v>0.5261458333333333</v>
      </c>
      <c r="C81" t="s">
        <v>167</v>
      </c>
      <c r="D81" t="s">
        <v>40</v>
      </c>
      <c r="E81" t="s">
        <v>193</v>
      </c>
      <c r="F81" t="s">
        <v>194</v>
      </c>
      <c r="G81">
        <v>-37500</v>
      </c>
      <c r="H81" t="s">
        <v>170</v>
      </c>
      <c r="I81" t="s">
        <v>171</v>
      </c>
    </row>
    <row r="82" spans="1:9">
      <c r="A82" s="50">
        <v>46112</v>
      </c>
      <c r="B82" s="51">
        <v>0.3130902777777778</v>
      </c>
      <c r="C82" t="s">
        <v>167</v>
      </c>
      <c r="D82" t="s">
        <v>42</v>
      </c>
      <c r="E82" t="s">
        <v>235</v>
      </c>
      <c r="F82" t="s">
        <v>242</v>
      </c>
      <c r="G82">
        <v>-45760</v>
      </c>
      <c r="H82" t="s">
        <v>170</v>
      </c>
      <c r="I82" t="s">
        <v>243</v>
      </c>
    </row>
    <row r="83" spans="1:9">
      <c r="A83" s="50">
        <v>46112</v>
      </c>
      <c r="B83" s="51">
        <v>0</v>
      </c>
      <c r="C83" t="s">
        <v>167</v>
      </c>
      <c r="D83" t="s">
        <v>34</v>
      </c>
      <c r="E83" t="s">
        <v>206</v>
      </c>
      <c r="F83" t="s">
        <v>268</v>
      </c>
      <c r="G83">
        <v>-200</v>
      </c>
      <c r="H83" t="s">
        <v>170</v>
      </c>
      <c r="I83" t="s">
        <v>187</v>
      </c>
    </row>
    <row r="84" spans="1:9">
      <c r="A84" s="50">
        <v>46111</v>
      </c>
      <c r="B84" s="51">
        <v>0.7837615740740741</v>
      </c>
      <c r="C84" t="s">
        <v>167</v>
      </c>
      <c r="D84" t="s">
        <v>47</v>
      </c>
      <c r="E84" t="s">
        <v>183</v>
      </c>
      <c r="F84" t="s">
        <v>184</v>
      </c>
      <c r="G84">
        <v>-11700</v>
      </c>
      <c r="H84" t="s">
        <v>170</v>
      </c>
      <c r="I84" t="s">
        <v>171</v>
      </c>
    </row>
    <row r="85" spans="1:9">
      <c r="A85" s="50">
        <v>46111</v>
      </c>
      <c r="B85" s="51">
        <v>0.7807175925925925</v>
      </c>
      <c r="C85" t="s">
        <v>167</v>
      </c>
      <c r="D85" t="s">
        <v>40</v>
      </c>
      <c r="E85" t="s">
        <v>269</v>
      </c>
      <c r="F85" t="s">
        <v>270</v>
      </c>
      <c r="G85">
        <v>-37500</v>
      </c>
      <c r="H85" t="s">
        <v>170</v>
      </c>
      <c r="I85" t="s">
        <v>171</v>
      </c>
    </row>
    <row r="86" spans="1:9">
      <c r="A86" s="50">
        <v>46110</v>
      </c>
      <c r="B86" s="51">
        <v>0.9594097222222222</v>
      </c>
      <c r="C86" t="s">
        <v>167</v>
      </c>
      <c r="D86" t="s">
        <v>34</v>
      </c>
      <c r="E86" t="s">
        <v>208</v>
      </c>
      <c r="F86" t="s">
        <v>263</v>
      </c>
      <c r="G86">
        <v>-7000</v>
      </c>
      <c r="H86" t="s">
        <v>170</v>
      </c>
      <c r="I86" t="s">
        <v>175</v>
      </c>
    </row>
    <row r="87" spans="1:9">
      <c r="A87" s="50">
        <v>46110</v>
      </c>
      <c r="B87" s="51">
        <v>0.7901967592592593</v>
      </c>
      <c r="C87" t="s">
        <v>167</v>
      </c>
      <c r="D87" t="s">
        <v>40</v>
      </c>
      <c r="E87" t="s">
        <v>261</v>
      </c>
      <c r="F87" t="s">
        <v>262</v>
      </c>
      <c r="G87">
        <v>-16500</v>
      </c>
      <c r="H87" t="s">
        <v>170</v>
      </c>
      <c r="I87" t="s">
        <v>243</v>
      </c>
    </row>
    <row r="88" spans="1:9">
      <c r="A88" s="50">
        <v>46110</v>
      </c>
      <c r="B88" s="51">
        <v>0.4507060185185185</v>
      </c>
      <c r="C88" t="s">
        <v>167</v>
      </c>
      <c r="D88" t="s">
        <v>46</v>
      </c>
      <c r="E88" t="s">
        <v>168</v>
      </c>
      <c r="F88" t="s">
        <v>178</v>
      </c>
      <c r="G88">
        <v>-14700</v>
      </c>
      <c r="H88" t="s">
        <v>170</v>
      </c>
      <c r="I88" t="s">
        <v>171</v>
      </c>
    </row>
    <row r="89" spans="1:9">
      <c r="A89" s="50">
        <v>46109</v>
      </c>
      <c r="B89" s="51">
        <v>0.916238425925926</v>
      </c>
      <c r="C89" t="s">
        <v>167</v>
      </c>
      <c r="D89" t="s">
        <v>35</v>
      </c>
      <c r="E89" t="s">
        <v>271</v>
      </c>
      <c r="F89" t="s">
        <v>272</v>
      </c>
      <c r="G89">
        <v>-3000</v>
      </c>
      <c r="H89" t="s">
        <v>170</v>
      </c>
      <c r="I89" t="s">
        <v>171</v>
      </c>
    </row>
    <row r="90" spans="1:9">
      <c r="A90" s="50">
        <v>46109</v>
      </c>
      <c r="B90" s="51">
        <v>0.8855787037037037</v>
      </c>
      <c r="C90" t="s">
        <v>167</v>
      </c>
      <c r="D90" t="s">
        <v>35</v>
      </c>
      <c r="E90" t="s">
        <v>271</v>
      </c>
      <c r="F90" t="s">
        <v>272</v>
      </c>
      <c r="G90">
        <v>-3000</v>
      </c>
      <c r="H90" t="s">
        <v>170</v>
      </c>
      <c r="I90" t="s">
        <v>171</v>
      </c>
    </row>
    <row r="91" spans="1:9">
      <c r="A91" s="50">
        <v>46109</v>
      </c>
      <c r="B91" s="51">
        <v>0.8779166666666667</v>
      </c>
      <c r="C91" t="s">
        <v>167</v>
      </c>
      <c r="D91" t="s">
        <v>38</v>
      </c>
      <c r="E91" t="s">
        <v>181</v>
      </c>
      <c r="F91" t="s">
        <v>273</v>
      </c>
      <c r="G91">
        <v>-1700</v>
      </c>
      <c r="H91" t="s">
        <v>170</v>
      </c>
      <c r="I91" t="s">
        <v>171</v>
      </c>
    </row>
    <row r="92" spans="1:9">
      <c r="A92" s="50">
        <v>46109</v>
      </c>
      <c r="B92" s="51">
        <v>0.8643981481481482</v>
      </c>
      <c r="C92" t="s">
        <v>167</v>
      </c>
      <c r="D92" t="s">
        <v>40</v>
      </c>
      <c r="E92" t="s">
        <v>176</v>
      </c>
      <c r="F92" t="s">
        <v>274</v>
      </c>
      <c r="G92">
        <v>-35000</v>
      </c>
      <c r="H92" t="s">
        <v>170</v>
      </c>
      <c r="I92" t="s">
        <v>171</v>
      </c>
    </row>
    <row r="93" spans="1:9">
      <c r="A93" s="50">
        <v>46109</v>
      </c>
      <c r="B93" s="51">
        <v>0.837650462962963</v>
      </c>
      <c r="C93" t="s">
        <v>167</v>
      </c>
      <c r="D93" t="s">
        <v>33</v>
      </c>
      <c r="E93" t="s">
        <v>257</v>
      </c>
      <c r="F93" t="s">
        <v>275</v>
      </c>
      <c r="G93">
        <v>-6300</v>
      </c>
      <c r="H93" t="s">
        <v>170</v>
      </c>
      <c r="I93" t="s">
        <v>253</v>
      </c>
    </row>
    <row r="94" spans="1:9">
      <c r="A94" s="50">
        <v>46109</v>
      </c>
      <c r="B94" s="51">
        <v>0.8298958333333334</v>
      </c>
      <c r="C94" t="s">
        <v>167</v>
      </c>
      <c r="D94" t="s">
        <v>33</v>
      </c>
      <c r="E94" t="s">
        <v>257</v>
      </c>
      <c r="F94" t="s">
        <v>275</v>
      </c>
      <c r="G94">
        <v>-6400</v>
      </c>
      <c r="H94" t="s">
        <v>170</v>
      </c>
      <c r="I94" t="s">
        <v>253</v>
      </c>
    </row>
    <row r="95" spans="1:9">
      <c r="A95" s="50">
        <v>46109</v>
      </c>
      <c r="B95" s="51">
        <v>0.8298958333333334</v>
      </c>
      <c r="C95" t="s">
        <v>167</v>
      </c>
      <c r="D95" t="s">
        <v>33</v>
      </c>
      <c r="E95" t="s">
        <v>257</v>
      </c>
      <c r="F95" t="s">
        <v>275</v>
      </c>
      <c r="G95">
        <v>6400</v>
      </c>
      <c r="H95" t="s">
        <v>170</v>
      </c>
      <c r="I95" t="s">
        <v>253</v>
      </c>
    </row>
    <row r="96" spans="1:9">
      <c r="A96" s="50">
        <v>46109</v>
      </c>
      <c r="B96" s="51">
        <v>0.7284490740740741</v>
      </c>
      <c r="C96" t="s">
        <v>167</v>
      </c>
      <c r="D96" t="s">
        <v>41</v>
      </c>
      <c r="E96" t="s">
        <v>210</v>
      </c>
      <c r="F96" t="s">
        <v>276</v>
      </c>
      <c r="G96">
        <v>-279500</v>
      </c>
      <c r="H96" t="s">
        <v>170</v>
      </c>
      <c r="I96" t="s">
        <v>237</v>
      </c>
    </row>
    <row r="97" spans="1:9">
      <c r="A97" s="50">
        <v>46109</v>
      </c>
      <c r="B97" s="51">
        <v>0.6147106481481481</v>
      </c>
      <c r="C97" t="s">
        <v>167</v>
      </c>
      <c r="D97" t="s">
        <v>40</v>
      </c>
      <c r="E97" t="s">
        <v>176</v>
      </c>
      <c r="F97" t="s">
        <v>277</v>
      </c>
      <c r="G97">
        <v>-18000</v>
      </c>
      <c r="H97" t="s">
        <v>170</v>
      </c>
      <c r="I97" t="s">
        <v>171</v>
      </c>
    </row>
    <row r="98" spans="1:9">
      <c r="A98" s="50">
        <v>46109</v>
      </c>
      <c r="B98" s="51">
        <v>0.4061342592592593</v>
      </c>
      <c r="C98" t="s">
        <v>167</v>
      </c>
      <c r="D98" t="s">
        <v>42</v>
      </c>
      <c r="E98" t="s">
        <v>235</v>
      </c>
      <c r="F98" t="s">
        <v>242</v>
      </c>
      <c r="G98">
        <v>-19800</v>
      </c>
      <c r="H98" t="s">
        <v>170</v>
      </c>
      <c r="I98" t="s">
        <v>243</v>
      </c>
    </row>
    <row r="99" spans="1:9">
      <c r="A99" s="50">
        <v>46109</v>
      </c>
      <c r="B99" s="51">
        <v>0.3681597222222222</v>
      </c>
      <c r="C99" t="s">
        <v>167</v>
      </c>
      <c r="D99" t="s">
        <v>40</v>
      </c>
      <c r="E99" t="s">
        <v>244</v>
      </c>
      <c r="F99" t="s">
        <v>251</v>
      </c>
      <c r="G99">
        <v>-2400</v>
      </c>
      <c r="H99" t="s">
        <v>170</v>
      </c>
      <c r="I99" t="s">
        <v>171</v>
      </c>
    </row>
    <row r="100" spans="1:9">
      <c r="A100" s="50">
        <v>46109</v>
      </c>
      <c r="B100" s="51">
        <v>0.2590046296296296</v>
      </c>
      <c r="C100" t="s">
        <v>233</v>
      </c>
      <c r="D100" t="s">
        <v>28</v>
      </c>
      <c r="E100" t="s">
        <v>173</v>
      </c>
      <c r="F100" t="s">
        <v>278</v>
      </c>
      <c r="G100">
        <v>0</v>
      </c>
      <c r="H100" t="s">
        <v>170</v>
      </c>
      <c r="I100" t="s">
        <v>60</v>
      </c>
    </row>
    <row r="101" spans="1:9">
      <c r="A101" s="50">
        <v>46109</v>
      </c>
      <c r="B101" s="51">
        <v>0.2488194444444445</v>
      </c>
      <c r="C101" t="s">
        <v>233</v>
      </c>
      <c r="D101" t="s">
        <v>28</v>
      </c>
      <c r="E101" t="s">
        <v>173</v>
      </c>
      <c r="F101" t="s">
        <v>278</v>
      </c>
      <c r="G101">
        <v>0</v>
      </c>
      <c r="H101" t="s">
        <v>170</v>
      </c>
      <c r="I101" t="s">
        <v>60</v>
      </c>
    </row>
    <row r="102" spans="1:9">
      <c r="A102" s="50">
        <v>46108</v>
      </c>
      <c r="B102" s="51">
        <v>0.7938194444444444</v>
      </c>
      <c r="C102" t="s">
        <v>167</v>
      </c>
      <c r="D102" t="s">
        <v>40</v>
      </c>
      <c r="E102" t="s">
        <v>261</v>
      </c>
      <c r="F102" t="s">
        <v>262</v>
      </c>
      <c r="G102">
        <v>-46900</v>
      </c>
      <c r="H102" t="s">
        <v>170</v>
      </c>
      <c r="I102" t="s">
        <v>243</v>
      </c>
    </row>
    <row r="103" spans="1:9">
      <c r="A103" s="50">
        <v>46108</v>
      </c>
      <c r="B103" s="51">
        <v>0.7733217592592593</v>
      </c>
      <c r="C103" t="s">
        <v>167</v>
      </c>
      <c r="D103" t="s">
        <v>38</v>
      </c>
      <c r="E103" t="s">
        <v>181</v>
      </c>
      <c r="F103" t="s">
        <v>182</v>
      </c>
      <c r="G103">
        <v>-4500</v>
      </c>
      <c r="H103" t="s">
        <v>170</v>
      </c>
      <c r="I103" t="s">
        <v>171</v>
      </c>
    </row>
    <row r="104" spans="1:9">
      <c r="A104" s="50">
        <v>46108</v>
      </c>
      <c r="B104" s="51">
        <v>0.3396180555555556</v>
      </c>
      <c r="C104" t="s">
        <v>167</v>
      </c>
      <c r="D104" t="s">
        <v>42</v>
      </c>
      <c r="E104" t="s">
        <v>235</v>
      </c>
      <c r="F104" t="s">
        <v>242</v>
      </c>
      <c r="G104">
        <v>-16840</v>
      </c>
      <c r="H104" t="s">
        <v>170</v>
      </c>
      <c r="I104" t="s">
        <v>243</v>
      </c>
    </row>
    <row r="105" spans="1:9">
      <c r="A105" s="50">
        <v>46108</v>
      </c>
      <c r="B105" s="51">
        <v>0.0427662037037037</v>
      </c>
      <c r="C105" t="s">
        <v>167</v>
      </c>
      <c r="D105" t="s">
        <v>46</v>
      </c>
      <c r="E105" t="s">
        <v>168</v>
      </c>
      <c r="F105" t="s">
        <v>279</v>
      </c>
      <c r="G105">
        <v>-29100</v>
      </c>
      <c r="H105" t="s">
        <v>170</v>
      </c>
      <c r="I105" t="s">
        <v>237</v>
      </c>
    </row>
    <row r="106" spans="1:9">
      <c r="A106" s="50">
        <v>46107</v>
      </c>
      <c r="B106" s="51">
        <v>0.7999652777777778</v>
      </c>
      <c r="C106" t="s">
        <v>167</v>
      </c>
      <c r="D106" t="s">
        <v>42</v>
      </c>
      <c r="E106" t="s">
        <v>235</v>
      </c>
      <c r="F106" t="s">
        <v>242</v>
      </c>
      <c r="G106">
        <v>-4360</v>
      </c>
      <c r="H106" t="s">
        <v>170</v>
      </c>
      <c r="I106" t="s">
        <v>243</v>
      </c>
    </row>
    <row r="107" spans="1:9">
      <c r="A107" s="50">
        <v>46107</v>
      </c>
      <c r="B107" s="51">
        <v>0.7709606481481481</v>
      </c>
      <c r="C107" t="s">
        <v>167</v>
      </c>
      <c r="D107" t="s">
        <v>40</v>
      </c>
      <c r="E107" t="s">
        <v>176</v>
      </c>
      <c r="F107" t="s">
        <v>230</v>
      </c>
      <c r="G107">
        <v>-5500</v>
      </c>
      <c r="H107" t="s">
        <v>170</v>
      </c>
      <c r="I107" t="s">
        <v>171</v>
      </c>
    </row>
    <row r="108" spans="1:9">
      <c r="A108" s="50">
        <v>46107</v>
      </c>
      <c r="B108" s="51">
        <v>0.7464930555555556</v>
      </c>
      <c r="C108" t="s">
        <v>167</v>
      </c>
      <c r="D108" t="s">
        <v>47</v>
      </c>
      <c r="E108" t="s">
        <v>183</v>
      </c>
      <c r="F108" t="s">
        <v>184</v>
      </c>
      <c r="G108">
        <v>-8400</v>
      </c>
      <c r="H108" t="s">
        <v>170</v>
      </c>
      <c r="I108" t="s">
        <v>171</v>
      </c>
    </row>
    <row r="109" spans="1:9">
      <c r="A109" s="50">
        <v>46107</v>
      </c>
      <c r="B109" s="51">
        <v>0.5352083333333333</v>
      </c>
      <c r="C109" t="s">
        <v>167</v>
      </c>
      <c r="D109" t="s">
        <v>46</v>
      </c>
      <c r="E109" t="s">
        <v>168</v>
      </c>
      <c r="F109" t="s">
        <v>280</v>
      </c>
      <c r="G109">
        <v>-9000</v>
      </c>
      <c r="H109" t="s">
        <v>170</v>
      </c>
      <c r="I109" t="s">
        <v>171</v>
      </c>
    </row>
    <row r="110" spans="1:9">
      <c r="A110" s="50">
        <v>46107</v>
      </c>
      <c r="B110" s="51">
        <v>0.5247106481481482</v>
      </c>
      <c r="C110" t="s">
        <v>167</v>
      </c>
      <c r="D110" t="s">
        <v>40</v>
      </c>
      <c r="E110" t="s">
        <v>261</v>
      </c>
      <c r="F110" t="s">
        <v>262</v>
      </c>
      <c r="G110">
        <v>-9900</v>
      </c>
      <c r="H110" t="s">
        <v>170</v>
      </c>
      <c r="I110" t="s">
        <v>243</v>
      </c>
    </row>
    <row r="111" spans="1:9">
      <c r="A111" s="50">
        <v>46107</v>
      </c>
      <c r="B111" s="51">
        <v>0.5229861111111112</v>
      </c>
      <c r="C111" t="s">
        <v>167</v>
      </c>
      <c r="D111" t="s">
        <v>40</v>
      </c>
      <c r="E111" t="s">
        <v>261</v>
      </c>
      <c r="F111" t="s">
        <v>262</v>
      </c>
      <c r="G111">
        <v>10400</v>
      </c>
      <c r="H111" t="s">
        <v>170</v>
      </c>
      <c r="I111" t="s">
        <v>243</v>
      </c>
    </row>
    <row r="112" spans="1:9">
      <c r="A112" s="50">
        <v>46107</v>
      </c>
      <c r="B112" s="51">
        <v>0.5216666666666666</v>
      </c>
      <c r="C112" t="s">
        <v>167</v>
      </c>
      <c r="D112" t="s">
        <v>40</v>
      </c>
      <c r="E112" t="s">
        <v>261</v>
      </c>
      <c r="F112" t="s">
        <v>262</v>
      </c>
      <c r="G112">
        <v>-10400</v>
      </c>
      <c r="H112" t="s">
        <v>170</v>
      </c>
      <c r="I112" t="s">
        <v>243</v>
      </c>
    </row>
    <row r="113" spans="1:9">
      <c r="A113" s="50">
        <v>46106</v>
      </c>
      <c r="B113" s="51">
        <v>0.9265162037037037</v>
      </c>
      <c r="C113" t="s">
        <v>167</v>
      </c>
      <c r="D113" t="s">
        <v>38</v>
      </c>
      <c r="E113" t="s">
        <v>181</v>
      </c>
      <c r="F113" t="s">
        <v>281</v>
      </c>
      <c r="G113">
        <v>-1800</v>
      </c>
      <c r="H113" t="s">
        <v>170</v>
      </c>
      <c r="I113" t="s">
        <v>171</v>
      </c>
    </row>
    <row r="114" spans="1:9">
      <c r="A114" s="50">
        <v>46106</v>
      </c>
      <c r="B114" s="51">
        <v>0.7485416666666667</v>
      </c>
      <c r="C114" t="s">
        <v>167</v>
      </c>
      <c r="D114" t="s">
        <v>33</v>
      </c>
      <c r="E114" t="s">
        <v>282</v>
      </c>
      <c r="F114" t="s">
        <v>283</v>
      </c>
      <c r="G114">
        <v>-55000</v>
      </c>
      <c r="H114" t="s">
        <v>170</v>
      </c>
      <c r="I114" t="s">
        <v>171</v>
      </c>
    </row>
    <row r="115" spans="1:9">
      <c r="A115" s="50">
        <v>46106</v>
      </c>
      <c r="B115" s="51">
        <v>0.5297222222222222</v>
      </c>
      <c r="C115" t="s">
        <v>172</v>
      </c>
      <c r="D115" t="s">
        <v>172</v>
      </c>
      <c r="E115" t="s">
        <v>173</v>
      </c>
      <c r="F115" t="s">
        <v>284</v>
      </c>
      <c r="G115">
        <v>7500</v>
      </c>
      <c r="H115" t="s">
        <v>170</v>
      </c>
      <c r="I115" t="s">
        <v>175</v>
      </c>
    </row>
    <row r="116" spans="1:9">
      <c r="A116" s="50">
        <v>46106</v>
      </c>
      <c r="B116" s="51">
        <v>0.5281828703703704</v>
      </c>
      <c r="C116" t="s">
        <v>167</v>
      </c>
      <c r="D116" t="s">
        <v>40</v>
      </c>
      <c r="E116" t="s">
        <v>193</v>
      </c>
      <c r="F116" t="s">
        <v>194</v>
      </c>
      <c r="G116">
        <v>-7500</v>
      </c>
      <c r="H116" t="s">
        <v>170</v>
      </c>
      <c r="I116" t="s">
        <v>171</v>
      </c>
    </row>
    <row r="117" spans="1:9">
      <c r="A117" s="50">
        <v>46106</v>
      </c>
      <c r="B117" s="51">
        <v>0.5280092592592592</v>
      </c>
      <c r="C117" t="s">
        <v>167</v>
      </c>
      <c r="D117" t="s">
        <v>40</v>
      </c>
      <c r="E117" t="s">
        <v>193</v>
      </c>
      <c r="F117" t="s">
        <v>194</v>
      </c>
      <c r="G117">
        <v>-7500</v>
      </c>
      <c r="H117" t="s">
        <v>170</v>
      </c>
      <c r="I117" t="s">
        <v>171</v>
      </c>
    </row>
    <row r="118" spans="1:9">
      <c r="A118" s="50">
        <v>46106</v>
      </c>
      <c r="B118" s="51">
        <v>0.4754513888888889</v>
      </c>
      <c r="C118" t="s">
        <v>167</v>
      </c>
      <c r="D118" t="s">
        <v>38</v>
      </c>
      <c r="E118" t="s">
        <v>181</v>
      </c>
      <c r="F118" t="s">
        <v>285</v>
      </c>
      <c r="G118">
        <v>-3000</v>
      </c>
      <c r="H118" t="s">
        <v>170</v>
      </c>
      <c r="I118" t="s">
        <v>171</v>
      </c>
    </row>
    <row r="119" spans="1:9">
      <c r="A119" s="50">
        <v>46106</v>
      </c>
      <c r="B119" s="51">
        <v>0.4016550925925926</v>
      </c>
      <c r="C119" t="s">
        <v>172</v>
      </c>
      <c r="D119" t="s">
        <v>195</v>
      </c>
      <c r="E119" t="s">
        <v>173</v>
      </c>
      <c r="F119" t="s">
        <v>7</v>
      </c>
      <c r="G119">
        <v>-2520000</v>
      </c>
      <c r="H119" t="s">
        <v>170</v>
      </c>
      <c r="I119" t="s">
        <v>59</v>
      </c>
    </row>
    <row r="120" spans="1:9">
      <c r="A120" s="50">
        <v>46106</v>
      </c>
      <c r="B120" s="51">
        <v>0.4016550925925926</v>
      </c>
      <c r="C120" t="s">
        <v>172</v>
      </c>
      <c r="D120" t="s">
        <v>195</v>
      </c>
      <c r="E120" t="s">
        <v>173</v>
      </c>
      <c r="F120" t="s">
        <v>7</v>
      </c>
      <c r="G120">
        <v>2520000</v>
      </c>
      <c r="H120" t="s">
        <v>170</v>
      </c>
      <c r="I120" t="s">
        <v>61</v>
      </c>
    </row>
    <row r="121" spans="1:9">
      <c r="A121" s="50">
        <v>46106</v>
      </c>
      <c r="B121" s="51">
        <v>0.382650462962963</v>
      </c>
      <c r="C121" t="s">
        <v>233</v>
      </c>
      <c r="D121" t="s">
        <v>29</v>
      </c>
      <c r="E121" t="s">
        <v>173</v>
      </c>
      <c r="F121" t="s">
        <v>286</v>
      </c>
      <c r="G121">
        <v>3222063</v>
      </c>
      <c r="H121" t="s">
        <v>170</v>
      </c>
      <c r="I121" t="s">
        <v>59</v>
      </c>
    </row>
    <row r="122" spans="1:9">
      <c r="A122" s="50">
        <v>46106</v>
      </c>
      <c r="B122" s="51">
        <v>0.2655324074074074</v>
      </c>
      <c r="C122" t="s">
        <v>167</v>
      </c>
      <c r="D122" t="s">
        <v>33</v>
      </c>
      <c r="E122" t="s">
        <v>282</v>
      </c>
      <c r="F122" t="s">
        <v>287</v>
      </c>
      <c r="G122">
        <v>-60600</v>
      </c>
      <c r="H122" t="s">
        <v>170</v>
      </c>
      <c r="I122" t="s">
        <v>243</v>
      </c>
    </row>
    <row r="123" spans="1:9">
      <c r="A123" s="50">
        <v>46106</v>
      </c>
      <c r="B123" s="51">
        <v>0.2447685185185185</v>
      </c>
      <c r="C123" t="s">
        <v>167</v>
      </c>
      <c r="D123" t="s">
        <v>33</v>
      </c>
      <c r="E123" t="s">
        <v>282</v>
      </c>
      <c r="F123" t="s">
        <v>287</v>
      </c>
      <c r="G123">
        <v>-39750</v>
      </c>
      <c r="H123" t="s">
        <v>170</v>
      </c>
      <c r="I123" t="s">
        <v>243</v>
      </c>
    </row>
    <row r="124" spans="1:9">
      <c r="A124" s="50">
        <v>46105</v>
      </c>
      <c r="B124" s="51">
        <v>0.8812847222222222</v>
      </c>
      <c r="C124" t="s">
        <v>167</v>
      </c>
      <c r="D124" t="s">
        <v>38</v>
      </c>
      <c r="E124" t="s">
        <v>181</v>
      </c>
      <c r="F124" t="s">
        <v>281</v>
      </c>
      <c r="G124">
        <v>-11900</v>
      </c>
      <c r="H124" t="s">
        <v>170</v>
      </c>
      <c r="I124" t="s">
        <v>171</v>
      </c>
    </row>
    <row r="125" spans="1:9">
      <c r="A125" s="50">
        <v>46105</v>
      </c>
      <c r="B125" s="51">
        <v>0.8665856481481482</v>
      </c>
      <c r="C125" t="s">
        <v>167</v>
      </c>
      <c r="D125" t="s">
        <v>40</v>
      </c>
      <c r="E125" t="s">
        <v>176</v>
      </c>
      <c r="F125" t="s">
        <v>230</v>
      </c>
      <c r="G125">
        <v>-5500</v>
      </c>
      <c r="H125" t="s">
        <v>170</v>
      </c>
      <c r="I125" t="s">
        <v>171</v>
      </c>
    </row>
    <row r="126" spans="1:9">
      <c r="A126" s="50">
        <v>46105</v>
      </c>
      <c r="B126" s="51">
        <v>0.525787037037037</v>
      </c>
      <c r="C126" t="s">
        <v>167</v>
      </c>
      <c r="D126" t="s">
        <v>40</v>
      </c>
      <c r="E126" t="s">
        <v>176</v>
      </c>
      <c r="F126" t="s">
        <v>205</v>
      </c>
      <c r="G126">
        <v>-9000</v>
      </c>
      <c r="H126" t="s">
        <v>170</v>
      </c>
      <c r="I126" t="s">
        <v>171</v>
      </c>
    </row>
    <row r="127" spans="1:9">
      <c r="A127" s="50">
        <v>46104</v>
      </c>
      <c r="B127" s="51">
        <v>0.9456134259259259</v>
      </c>
      <c r="C127" t="s">
        <v>167</v>
      </c>
      <c r="D127" t="s">
        <v>38</v>
      </c>
      <c r="E127" t="s">
        <v>181</v>
      </c>
      <c r="F127" t="s">
        <v>182</v>
      </c>
      <c r="G127">
        <v>-5800</v>
      </c>
      <c r="H127" t="s">
        <v>170</v>
      </c>
      <c r="I127" t="s">
        <v>171</v>
      </c>
    </row>
    <row r="128" spans="1:9">
      <c r="A128" s="50">
        <v>46104</v>
      </c>
      <c r="B128" s="51">
        <v>0.7600347222222222</v>
      </c>
      <c r="C128" t="s">
        <v>167</v>
      </c>
      <c r="D128" t="s">
        <v>47</v>
      </c>
      <c r="E128" t="s">
        <v>183</v>
      </c>
      <c r="F128" t="s">
        <v>184</v>
      </c>
      <c r="G128">
        <v>-24800</v>
      </c>
      <c r="H128" t="s">
        <v>170</v>
      </c>
      <c r="I128" t="s">
        <v>171</v>
      </c>
    </row>
    <row r="129" spans="1:9">
      <c r="A129" s="50">
        <v>46104</v>
      </c>
      <c r="B129" s="51">
        <v>0.549525462962963</v>
      </c>
      <c r="C129" t="s">
        <v>167</v>
      </c>
      <c r="D129" t="s">
        <v>35</v>
      </c>
      <c r="E129" t="s">
        <v>225</v>
      </c>
      <c r="F129" t="s">
        <v>226</v>
      </c>
      <c r="G129">
        <v>-16000</v>
      </c>
      <c r="H129" t="s">
        <v>170</v>
      </c>
      <c r="I129" t="s">
        <v>171</v>
      </c>
    </row>
    <row r="130" spans="1:9">
      <c r="A130" s="50">
        <v>46104</v>
      </c>
      <c r="B130" s="51">
        <v>0.3380555555555556</v>
      </c>
      <c r="C130" t="s">
        <v>167</v>
      </c>
      <c r="D130" t="s">
        <v>42</v>
      </c>
      <c r="E130" t="s">
        <v>235</v>
      </c>
      <c r="F130" t="s">
        <v>242</v>
      </c>
      <c r="G130">
        <v>-25600</v>
      </c>
      <c r="H130" t="s">
        <v>170</v>
      </c>
      <c r="I130" t="s">
        <v>243</v>
      </c>
    </row>
    <row r="131" spans="1:9">
      <c r="A131" s="50">
        <v>46104</v>
      </c>
      <c r="B131" s="51">
        <v>0.01997685185185185</v>
      </c>
      <c r="C131" t="s">
        <v>167</v>
      </c>
      <c r="D131" t="s">
        <v>42</v>
      </c>
      <c r="E131" t="s">
        <v>235</v>
      </c>
      <c r="F131" t="s">
        <v>242</v>
      </c>
      <c r="G131">
        <v>-33280</v>
      </c>
      <c r="H131" t="s">
        <v>170</v>
      </c>
      <c r="I131" t="s">
        <v>243</v>
      </c>
    </row>
    <row r="132" spans="1:9">
      <c r="A132" s="50">
        <v>46103</v>
      </c>
      <c r="B132" s="51">
        <v>0.6990509259259259</v>
      </c>
      <c r="C132" t="s">
        <v>167</v>
      </c>
      <c r="D132" t="s">
        <v>40</v>
      </c>
      <c r="E132" t="s">
        <v>261</v>
      </c>
      <c r="F132" t="s">
        <v>262</v>
      </c>
      <c r="G132">
        <v>-29800</v>
      </c>
      <c r="H132" t="s">
        <v>170</v>
      </c>
      <c r="I132" t="s">
        <v>243</v>
      </c>
    </row>
    <row r="133" spans="1:9">
      <c r="A133" s="50">
        <v>46103</v>
      </c>
      <c r="B133" s="51">
        <v>0.01579861111111111</v>
      </c>
      <c r="C133" t="s">
        <v>167</v>
      </c>
      <c r="D133" t="s">
        <v>34</v>
      </c>
      <c r="E133" t="s">
        <v>206</v>
      </c>
      <c r="F133" t="s">
        <v>246</v>
      </c>
      <c r="G133">
        <v>-30750</v>
      </c>
      <c r="H133" t="s">
        <v>170</v>
      </c>
      <c r="I133" t="s">
        <v>237</v>
      </c>
    </row>
    <row r="134" spans="1:9">
      <c r="A134" s="50">
        <v>46102</v>
      </c>
      <c r="B134" s="51">
        <v>0.9761921296296296</v>
      </c>
      <c r="C134" t="s">
        <v>167</v>
      </c>
      <c r="D134" t="s">
        <v>38</v>
      </c>
      <c r="E134" t="s">
        <v>288</v>
      </c>
      <c r="F134" t="s">
        <v>289</v>
      </c>
      <c r="G134">
        <v>-2600</v>
      </c>
      <c r="H134" t="s">
        <v>170</v>
      </c>
      <c r="I134" t="s">
        <v>171</v>
      </c>
    </row>
    <row r="135" spans="1:9">
      <c r="A135" s="50">
        <v>46102</v>
      </c>
      <c r="B135" s="51">
        <v>0.9556712962962963</v>
      </c>
      <c r="C135" t="s">
        <v>167</v>
      </c>
      <c r="D135" t="s">
        <v>40</v>
      </c>
      <c r="E135" t="s">
        <v>261</v>
      </c>
      <c r="F135" t="s">
        <v>262</v>
      </c>
      <c r="G135">
        <v>-10000</v>
      </c>
      <c r="H135" t="s">
        <v>170</v>
      </c>
      <c r="I135" t="s">
        <v>243</v>
      </c>
    </row>
    <row r="136" spans="1:9">
      <c r="A136" s="50">
        <v>46102</v>
      </c>
      <c r="B136" s="51">
        <v>0.9147916666666667</v>
      </c>
      <c r="C136" t="s">
        <v>167</v>
      </c>
      <c r="D136" t="s">
        <v>38</v>
      </c>
      <c r="E136" t="s">
        <v>181</v>
      </c>
      <c r="F136" t="s">
        <v>290</v>
      </c>
      <c r="G136">
        <v>-1000</v>
      </c>
      <c r="H136" t="s">
        <v>170</v>
      </c>
      <c r="I136" t="s">
        <v>171</v>
      </c>
    </row>
    <row r="137" spans="1:9">
      <c r="A137" s="50">
        <v>46102</v>
      </c>
      <c r="B137" s="51">
        <v>0.8726388888888889</v>
      </c>
      <c r="C137" t="s">
        <v>167</v>
      </c>
      <c r="D137" t="s">
        <v>34</v>
      </c>
      <c r="E137" t="s">
        <v>206</v>
      </c>
      <c r="F137" t="s">
        <v>246</v>
      </c>
      <c r="G137">
        <v>-14497</v>
      </c>
      <c r="H137" t="s">
        <v>170</v>
      </c>
      <c r="I137" t="s">
        <v>237</v>
      </c>
    </row>
    <row r="138" spans="1:9">
      <c r="A138" s="50">
        <v>46102</v>
      </c>
      <c r="B138" s="51">
        <v>0.8587037037037037</v>
      </c>
      <c r="C138" t="s">
        <v>167</v>
      </c>
      <c r="D138" t="s">
        <v>34</v>
      </c>
      <c r="E138" t="s">
        <v>206</v>
      </c>
      <c r="F138" t="s">
        <v>246</v>
      </c>
      <c r="G138">
        <v>-47050</v>
      </c>
      <c r="H138" t="s">
        <v>170</v>
      </c>
      <c r="I138" t="s">
        <v>237</v>
      </c>
    </row>
    <row r="139" spans="1:9">
      <c r="A139" s="50">
        <v>46102</v>
      </c>
      <c r="B139" s="51">
        <v>0.7364236111111111</v>
      </c>
      <c r="C139" t="s">
        <v>167</v>
      </c>
      <c r="D139" t="s">
        <v>46</v>
      </c>
      <c r="E139" t="s">
        <v>168</v>
      </c>
      <c r="F139" t="s">
        <v>279</v>
      </c>
      <c r="G139">
        <v>-84700</v>
      </c>
      <c r="H139" t="s">
        <v>170</v>
      </c>
      <c r="I139" t="s">
        <v>237</v>
      </c>
    </row>
    <row r="140" spans="1:9">
      <c r="A140" s="50">
        <v>46102</v>
      </c>
      <c r="B140" s="51">
        <v>0.4159259259259259</v>
      </c>
      <c r="C140" t="s">
        <v>233</v>
      </c>
      <c r="D140" t="s">
        <v>28</v>
      </c>
      <c r="E140" t="s">
        <v>173</v>
      </c>
      <c r="F140" t="s">
        <v>291</v>
      </c>
      <c r="G140">
        <v>1455</v>
      </c>
      <c r="H140" t="s">
        <v>170</v>
      </c>
      <c r="I140" t="s">
        <v>61</v>
      </c>
    </row>
    <row r="141" spans="1:9">
      <c r="A141" s="50">
        <v>46101</v>
      </c>
      <c r="B141" s="51">
        <v>0.9169791666666667</v>
      </c>
      <c r="C141" t="s">
        <v>167</v>
      </c>
      <c r="D141" t="s">
        <v>34</v>
      </c>
      <c r="E141" t="s">
        <v>206</v>
      </c>
      <c r="F141" t="s">
        <v>246</v>
      </c>
      <c r="G141">
        <v>-5880</v>
      </c>
      <c r="H141" t="s">
        <v>170</v>
      </c>
      <c r="I141" t="s">
        <v>237</v>
      </c>
    </row>
    <row r="142" spans="1:9">
      <c r="A142" s="50">
        <v>46101</v>
      </c>
      <c r="B142" s="51">
        <v>0.887962962962963</v>
      </c>
      <c r="C142" t="s">
        <v>167</v>
      </c>
      <c r="D142" t="s">
        <v>38</v>
      </c>
      <c r="E142" t="s">
        <v>288</v>
      </c>
      <c r="F142" t="s">
        <v>292</v>
      </c>
      <c r="G142">
        <v>-5000</v>
      </c>
      <c r="H142" t="s">
        <v>170</v>
      </c>
      <c r="I142" t="s">
        <v>171</v>
      </c>
    </row>
    <row r="143" spans="1:9">
      <c r="A143" s="50">
        <v>46101</v>
      </c>
      <c r="B143" s="51">
        <v>0.8323379629629629</v>
      </c>
      <c r="C143" t="s">
        <v>167</v>
      </c>
      <c r="D143" t="s">
        <v>34</v>
      </c>
      <c r="E143" t="s">
        <v>206</v>
      </c>
      <c r="F143" t="s">
        <v>246</v>
      </c>
      <c r="G143">
        <v>-28797</v>
      </c>
      <c r="H143" t="s">
        <v>170</v>
      </c>
      <c r="I143" t="s">
        <v>237</v>
      </c>
    </row>
    <row r="144" spans="1:9">
      <c r="A144" s="50">
        <v>46101</v>
      </c>
      <c r="B144" s="51">
        <v>0.7553703703703704</v>
      </c>
      <c r="C144" t="s">
        <v>167</v>
      </c>
      <c r="D144" t="s">
        <v>38</v>
      </c>
      <c r="E144" t="s">
        <v>288</v>
      </c>
      <c r="F144" t="s">
        <v>292</v>
      </c>
      <c r="G144">
        <v>-2000</v>
      </c>
      <c r="H144" t="s">
        <v>170</v>
      </c>
      <c r="I144" t="s">
        <v>171</v>
      </c>
    </row>
    <row r="145" spans="1:9">
      <c r="A145" s="50">
        <v>46101</v>
      </c>
      <c r="B145" s="51">
        <v>0.753912037037037</v>
      </c>
      <c r="C145" t="s">
        <v>167</v>
      </c>
      <c r="D145" t="s">
        <v>35</v>
      </c>
      <c r="E145" t="s">
        <v>293</v>
      </c>
      <c r="F145" t="s">
        <v>294</v>
      </c>
      <c r="G145">
        <v>-20400</v>
      </c>
      <c r="H145" t="s">
        <v>170</v>
      </c>
      <c r="I145" t="s">
        <v>171</v>
      </c>
    </row>
    <row r="146" spans="1:9">
      <c r="A146" s="50">
        <v>46101</v>
      </c>
      <c r="B146" s="51">
        <v>0.7415046296296296</v>
      </c>
      <c r="C146" t="s">
        <v>167</v>
      </c>
      <c r="D146" t="s">
        <v>38</v>
      </c>
      <c r="E146" t="s">
        <v>181</v>
      </c>
      <c r="F146" t="s">
        <v>295</v>
      </c>
      <c r="G146">
        <v>-4900</v>
      </c>
      <c r="H146" t="s">
        <v>170</v>
      </c>
      <c r="I146" t="s">
        <v>171</v>
      </c>
    </row>
    <row r="147" spans="1:9">
      <c r="A147" s="50">
        <v>46101</v>
      </c>
      <c r="B147" s="51">
        <v>0.7337847222222222</v>
      </c>
      <c r="C147" t="s">
        <v>167</v>
      </c>
      <c r="D147" t="s">
        <v>47</v>
      </c>
      <c r="E147" t="s">
        <v>296</v>
      </c>
      <c r="F147" t="s">
        <v>297</v>
      </c>
      <c r="G147">
        <v>-284500</v>
      </c>
      <c r="H147" t="s">
        <v>170</v>
      </c>
      <c r="I147" t="s">
        <v>171</v>
      </c>
    </row>
    <row r="148" spans="1:9">
      <c r="A148" s="50">
        <v>46101</v>
      </c>
      <c r="B148" s="51">
        <v>0.6422685185185185</v>
      </c>
      <c r="C148" t="s">
        <v>167</v>
      </c>
      <c r="D148" t="s">
        <v>40</v>
      </c>
      <c r="E148" t="s">
        <v>176</v>
      </c>
      <c r="F148" t="s">
        <v>298</v>
      </c>
      <c r="G148">
        <v>-2400</v>
      </c>
      <c r="H148" t="s">
        <v>170</v>
      </c>
      <c r="I148" t="s">
        <v>171</v>
      </c>
    </row>
    <row r="149" spans="1:9">
      <c r="A149" s="50">
        <v>46101</v>
      </c>
      <c r="B149" s="51">
        <v>0.5973032407407407</v>
      </c>
      <c r="C149" t="s">
        <v>167</v>
      </c>
      <c r="D149" t="s">
        <v>40</v>
      </c>
      <c r="E149" t="s">
        <v>176</v>
      </c>
      <c r="F149" t="s">
        <v>298</v>
      </c>
      <c r="G149">
        <v>-19000</v>
      </c>
      <c r="H149" t="s">
        <v>170</v>
      </c>
      <c r="I149" t="s">
        <v>171</v>
      </c>
    </row>
    <row r="150" spans="1:9">
      <c r="A150" s="50">
        <v>46101</v>
      </c>
      <c r="B150" s="51">
        <v>0.5030092592592592</v>
      </c>
      <c r="C150" t="s">
        <v>167</v>
      </c>
      <c r="D150" t="s">
        <v>40</v>
      </c>
      <c r="E150" t="s">
        <v>176</v>
      </c>
      <c r="F150" t="s">
        <v>299</v>
      </c>
      <c r="G150">
        <v>-42000</v>
      </c>
      <c r="H150" t="s">
        <v>170</v>
      </c>
      <c r="I150" t="s">
        <v>243</v>
      </c>
    </row>
    <row r="151" spans="1:9">
      <c r="A151" s="50">
        <v>46101</v>
      </c>
      <c r="B151" s="51">
        <v>0.4120717592592593</v>
      </c>
      <c r="C151" t="s">
        <v>167</v>
      </c>
      <c r="D151" t="s">
        <v>34</v>
      </c>
      <c r="E151" t="s">
        <v>206</v>
      </c>
      <c r="F151" t="s">
        <v>246</v>
      </c>
      <c r="G151">
        <v>-41370</v>
      </c>
      <c r="H151" t="s">
        <v>170</v>
      </c>
      <c r="I151" t="s">
        <v>237</v>
      </c>
    </row>
    <row r="152" spans="1:9">
      <c r="A152" s="50">
        <v>46101</v>
      </c>
      <c r="B152" s="51">
        <v>0.3508101851851852</v>
      </c>
      <c r="C152" t="s">
        <v>167</v>
      </c>
      <c r="D152" t="s">
        <v>42</v>
      </c>
      <c r="E152" t="s">
        <v>235</v>
      </c>
      <c r="F152" t="s">
        <v>242</v>
      </c>
      <c r="G152">
        <v>-40900</v>
      </c>
      <c r="H152" t="s">
        <v>170</v>
      </c>
      <c r="I152" t="s">
        <v>243</v>
      </c>
    </row>
    <row r="153" spans="1:9">
      <c r="A153" s="50">
        <v>46100</v>
      </c>
      <c r="B153" s="51">
        <v>0.7667592592592593</v>
      </c>
      <c r="C153" t="s">
        <v>167</v>
      </c>
      <c r="D153" t="s">
        <v>47</v>
      </c>
      <c r="E153" t="s">
        <v>300</v>
      </c>
      <c r="F153" t="s">
        <v>301</v>
      </c>
      <c r="G153">
        <v>-448000</v>
      </c>
      <c r="H153" t="s">
        <v>170</v>
      </c>
      <c r="I153" t="s">
        <v>171</v>
      </c>
    </row>
    <row r="154" spans="1:9">
      <c r="A154" s="50">
        <v>46100</v>
      </c>
      <c r="B154" s="51">
        <v>0.5934490740740741</v>
      </c>
      <c r="C154" t="s">
        <v>167</v>
      </c>
      <c r="D154" t="s">
        <v>40</v>
      </c>
      <c r="E154" t="s">
        <v>254</v>
      </c>
      <c r="F154" t="s">
        <v>255</v>
      </c>
      <c r="G154">
        <v>-19000</v>
      </c>
      <c r="H154" t="s">
        <v>170</v>
      </c>
      <c r="I154" t="s">
        <v>171</v>
      </c>
    </row>
    <row r="155" spans="1:9">
      <c r="A155" s="50">
        <v>46100</v>
      </c>
      <c r="B155" s="51">
        <v>0.5629861111111111</v>
      </c>
      <c r="C155" t="s">
        <v>167</v>
      </c>
      <c r="D155" t="s">
        <v>45</v>
      </c>
      <c r="E155" t="s">
        <v>185</v>
      </c>
      <c r="F155" t="s">
        <v>186</v>
      </c>
      <c r="G155">
        <v>-53900</v>
      </c>
      <c r="H155" t="s">
        <v>170</v>
      </c>
      <c r="I155" t="s">
        <v>187</v>
      </c>
    </row>
    <row r="156" spans="1:9">
      <c r="A156" s="50">
        <v>46100</v>
      </c>
      <c r="B156" s="51">
        <v>0.4194560185185185</v>
      </c>
      <c r="C156" t="s">
        <v>167</v>
      </c>
      <c r="D156" t="s">
        <v>42</v>
      </c>
      <c r="E156" t="s">
        <v>235</v>
      </c>
      <c r="F156" t="s">
        <v>242</v>
      </c>
      <c r="G156">
        <v>-35900</v>
      </c>
      <c r="H156" t="s">
        <v>170</v>
      </c>
      <c r="I156" t="s">
        <v>243</v>
      </c>
    </row>
    <row r="157" spans="1:9">
      <c r="A157" s="50">
        <v>46100</v>
      </c>
      <c r="B157" s="51">
        <v>0.3803819444444445</v>
      </c>
      <c r="C157" t="s">
        <v>167</v>
      </c>
      <c r="D157" t="s">
        <v>40</v>
      </c>
      <c r="E157" t="s">
        <v>244</v>
      </c>
      <c r="F157" t="s">
        <v>251</v>
      </c>
      <c r="G157">
        <v>-6400</v>
      </c>
      <c r="H157" t="s">
        <v>170</v>
      </c>
      <c r="I157" t="s">
        <v>171</v>
      </c>
    </row>
    <row r="158" spans="1:9">
      <c r="A158" s="50">
        <v>46100</v>
      </c>
      <c r="B158" s="51">
        <v>0.344849537037037</v>
      </c>
      <c r="C158" t="s">
        <v>167</v>
      </c>
      <c r="D158" t="s">
        <v>40</v>
      </c>
      <c r="E158" t="s">
        <v>244</v>
      </c>
      <c r="F158" t="s">
        <v>251</v>
      </c>
      <c r="G158">
        <v>-16000</v>
      </c>
      <c r="H158" t="s">
        <v>170</v>
      </c>
      <c r="I158" t="s">
        <v>171</v>
      </c>
    </row>
    <row r="159" spans="1:9">
      <c r="A159" s="50">
        <v>46099</v>
      </c>
      <c r="B159" s="51">
        <v>0.7647685185185186</v>
      </c>
      <c r="C159" t="s">
        <v>167</v>
      </c>
      <c r="D159" t="s">
        <v>40</v>
      </c>
      <c r="E159" t="s">
        <v>176</v>
      </c>
      <c r="F159" t="s">
        <v>302</v>
      </c>
      <c r="G159">
        <v>-5500</v>
      </c>
      <c r="H159" t="s">
        <v>170</v>
      </c>
      <c r="I159" t="s">
        <v>171</v>
      </c>
    </row>
    <row r="160" spans="1:9">
      <c r="A160" s="50">
        <v>46099</v>
      </c>
      <c r="B160" s="51">
        <v>0.7144212962962962</v>
      </c>
      <c r="C160" t="s">
        <v>167</v>
      </c>
      <c r="D160" t="s">
        <v>42</v>
      </c>
      <c r="E160" t="s">
        <v>188</v>
      </c>
      <c r="F160" t="s">
        <v>189</v>
      </c>
      <c r="G160">
        <v>-12900</v>
      </c>
      <c r="H160" t="s">
        <v>170</v>
      </c>
      <c r="I160" t="s">
        <v>171</v>
      </c>
    </row>
    <row r="161" spans="1:9">
      <c r="A161" s="50">
        <v>46099</v>
      </c>
      <c r="B161" s="51">
        <v>0.52375</v>
      </c>
      <c r="C161" t="s">
        <v>167</v>
      </c>
      <c r="D161" t="s">
        <v>40</v>
      </c>
      <c r="E161" t="s">
        <v>193</v>
      </c>
      <c r="F161" t="s">
        <v>194</v>
      </c>
      <c r="G161">
        <v>-7500</v>
      </c>
      <c r="H161" t="s">
        <v>170</v>
      </c>
      <c r="I161" t="s">
        <v>171</v>
      </c>
    </row>
    <row r="162" spans="1:9">
      <c r="A162" s="50">
        <v>46098</v>
      </c>
      <c r="B162" s="51">
        <v>0.8412384259259259</v>
      </c>
      <c r="C162" t="s">
        <v>167</v>
      </c>
      <c r="D162" t="s">
        <v>43</v>
      </c>
      <c r="E162" t="s">
        <v>179</v>
      </c>
      <c r="F162" t="s">
        <v>180</v>
      </c>
      <c r="G162">
        <v>-58333</v>
      </c>
      <c r="H162" t="s">
        <v>170</v>
      </c>
      <c r="I162" t="s">
        <v>171</v>
      </c>
    </row>
    <row r="163" spans="1:9">
      <c r="A163" s="50">
        <v>46098</v>
      </c>
      <c r="B163" s="51">
        <v>0.7706828703703704</v>
      </c>
      <c r="C163" t="s">
        <v>167</v>
      </c>
      <c r="D163" t="s">
        <v>40</v>
      </c>
      <c r="E163" t="s">
        <v>176</v>
      </c>
      <c r="F163" t="s">
        <v>303</v>
      </c>
      <c r="G163">
        <v>-4500</v>
      </c>
      <c r="H163" t="s">
        <v>170</v>
      </c>
      <c r="I163" t="s">
        <v>171</v>
      </c>
    </row>
    <row r="164" spans="1:9">
      <c r="A164" s="50">
        <v>46098</v>
      </c>
      <c r="B164" s="51">
        <v>0.5243634259259259</v>
      </c>
      <c r="C164" t="s">
        <v>167</v>
      </c>
      <c r="D164" t="s">
        <v>40</v>
      </c>
      <c r="E164" t="s">
        <v>193</v>
      </c>
      <c r="F164" t="s">
        <v>194</v>
      </c>
      <c r="G164">
        <v>-7500</v>
      </c>
      <c r="H164" t="s">
        <v>170</v>
      </c>
      <c r="I164" t="s">
        <v>171</v>
      </c>
    </row>
    <row r="165" spans="1:9">
      <c r="A165" s="50">
        <v>46098</v>
      </c>
      <c r="B165" s="51">
        <v>0.5118865740740741</v>
      </c>
      <c r="C165" t="s">
        <v>167</v>
      </c>
      <c r="D165" t="s">
        <v>42</v>
      </c>
      <c r="E165" t="s">
        <v>235</v>
      </c>
      <c r="F165" t="s">
        <v>242</v>
      </c>
      <c r="G165">
        <v>2900</v>
      </c>
      <c r="H165" t="s">
        <v>170</v>
      </c>
      <c r="I165" t="s">
        <v>243</v>
      </c>
    </row>
    <row r="166" spans="1:9">
      <c r="A166" s="50">
        <v>46098</v>
      </c>
      <c r="B166" s="51">
        <v>0.4724305555555556</v>
      </c>
      <c r="C166" t="s">
        <v>167</v>
      </c>
      <c r="D166" t="s">
        <v>42</v>
      </c>
      <c r="E166" t="s">
        <v>235</v>
      </c>
      <c r="F166" t="s">
        <v>242</v>
      </c>
      <c r="G166">
        <v>-6200</v>
      </c>
      <c r="H166" t="s">
        <v>170</v>
      </c>
      <c r="I166" t="s">
        <v>243</v>
      </c>
    </row>
    <row r="167" spans="1:9">
      <c r="A167" s="50">
        <v>46098</v>
      </c>
      <c r="B167" s="51">
        <v>0.3458680555555556</v>
      </c>
      <c r="C167" t="s">
        <v>167</v>
      </c>
      <c r="D167" t="s">
        <v>42</v>
      </c>
      <c r="E167" t="s">
        <v>235</v>
      </c>
      <c r="F167" t="s">
        <v>242</v>
      </c>
      <c r="G167">
        <v>-2900</v>
      </c>
      <c r="H167" t="s">
        <v>170</v>
      </c>
      <c r="I167" t="s">
        <v>243</v>
      </c>
    </row>
    <row r="168" spans="1:9">
      <c r="A168" s="50">
        <v>46097</v>
      </c>
      <c r="B168" s="51">
        <v>0.8050231481481481</v>
      </c>
      <c r="C168" t="s">
        <v>167</v>
      </c>
      <c r="D168" t="s">
        <v>40</v>
      </c>
      <c r="E168" t="s">
        <v>176</v>
      </c>
      <c r="F168" t="s">
        <v>230</v>
      </c>
      <c r="G168">
        <v>-5500</v>
      </c>
      <c r="H168" t="s">
        <v>170</v>
      </c>
      <c r="I168" t="s">
        <v>171</v>
      </c>
    </row>
    <row r="169" spans="1:9">
      <c r="A169" s="50">
        <v>46097</v>
      </c>
      <c r="B169" s="51">
        <v>0.5254861111111111</v>
      </c>
      <c r="C169" t="s">
        <v>167</v>
      </c>
      <c r="D169" t="s">
        <v>40</v>
      </c>
      <c r="E169" t="s">
        <v>193</v>
      </c>
      <c r="F169" t="s">
        <v>194</v>
      </c>
      <c r="G169">
        <v>-7500</v>
      </c>
      <c r="H169" t="s">
        <v>170</v>
      </c>
      <c r="I169" t="s">
        <v>171</v>
      </c>
    </row>
    <row r="170" spans="1:9">
      <c r="A170" s="50">
        <v>46097</v>
      </c>
      <c r="B170" s="51">
        <v>0.2935763888888889</v>
      </c>
      <c r="C170" t="s">
        <v>167</v>
      </c>
      <c r="D170" t="s">
        <v>42</v>
      </c>
      <c r="E170" t="s">
        <v>235</v>
      </c>
      <c r="F170" t="s">
        <v>242</v>
      </c>
      <c r="G170">
        <v>-16030</v>
      </c>
      <c r="H170" t="s">
        <v>170</v>
      </c>
      <c r="I170" t="s">
        <v>243</v>
      </c>
    </row>
    <row r="171" spans="1:9">
      <c r="A171" s="50">
        <v>46097</v>
      </c>
      <c r="B171" s="51">
        <v>0.1322337962962963</v>
      </c>
      <c r="C171" t="s">
        <v>172</v>
      </c>
      <c r="D171" t="s">
        <v>200</v>
      </c>
      <c r="E171" t="s">
        <v>173</v>
      </c>
      <c r="F171" t="s">
        <v>201</v>
      </c>
      <c r="G171">
        <v>-978684</v>
      </c>
      <c r="H171" t="s">
        <v>170</v>
      </c>
      <c r="I171" t="s">
        <v>61</v>
      </c>
    </row>
    <row r="172" spans="1:9">
      <c r="A172" s="50">
        <v>46096</v>
      </c>
      <c r="B172" s="51">
        <v>0.8136689814814815</v>
      </c>
      <c r="C172" t="s">
        <v>167</v>
      </c>
      <c r="D172" t="s">
        <v>42</v>
      </c>
      <c r="E172" t="s">
        <v>235</v>
      </c>
      <c r="F172" t="s">
        <v>242</v>
      </c>
      <c r="G172">
        <v>-52620</v>
      </c>
      <c r="H172" t="s">
        <v>170</v>
      </c>
      <c r="I172" t="s">
        <v>243</v>
      </c>
    </row>
    <row r="173" spans="1:9">
      <c r="A173" s="50">
        <v>46096</v>
      </c>
      <c r="B173" s="51">
        <v>0.8032407407407407</v>
      </c>
      <c r="C173" t="s">
        <v>167</v>
      </c>
      <c r="D173" t="s">
        <v>40</v>
      </c>
      <c r="E173" t="s">
        <v>261</v>
      </c>
      <c r="F173" t="s">
        <v>304</v>
      </c>
      <c r="G173">
        <v>-39000</v>
      </c>
      <c r="H173" t="s">
        <v>170</v>
      </c>
      <c r="I173" t="s">
        <v>253</v>
      </c>
    </row>
    <row r="174" spans="1:9">
      <c r="A174" s="50">
        <v>46096</v>
      </c>
      <c r="B174" s="51">
        <v>0.5630092592592593</v>
      </c>
      <c r="C174" t="s">
        <v>167</v>
      </c>
      <c r="D174" t="s">
        <v>46</v>
      </c>
      <c r="E174" t="s">
        <v>168</v>
      </c>
      <c r="F174" t="s">
        <v>305</v>
      </c>
      <c r="G174">
        <v>-7500</v>
      </c>
      <c r="H174" t="s">
        <v>170</v>
      </c>
      <c r="I174" t="s">
        <v>171</v>
      </c>
    </row>
    <row r="175" spans="1:9">
      <c r="A175" s="50">
        <v>46096</v>
      </c>
      <c r="B175" s="51">
        <v>0.4527546296296296</v>
      </c>
      <c r="C175" t="s">
        <v>167</v>
      </c>
      <c r="D175" t="s">
        <v>38</v>
      </c>
      <c r="E175" t="s">
        <v>181</v>
      </c>
      <c r="F175" t="s">
        <v>306</v>
      </c>
      <c r="G175">
        <v>-7500</v>
      </c>
      <c r="H175" t="s">
        <v>170</v>
      </c>
      <c r="I175" t="s">
        <v>171</v>
      </c>
    </row>
    <row r="176" spans="1:9">
      <c r="A176" s="50">
        <v>46096</v>
      </c>
      <c r="B176" s="51">
        <v>0.4131712962962963</v>
      </c>
      <c r="C176" t="s">
        <v>167</v>
      </c>
      <c r="D176" t="s">
        <v>40</v>
      </c>
      <c r="E176" t="s">
        <v>244</v>
      </c>
      <c r="F176" t="s">
        <v>251</v>
      </c>
      <c r="G176">
        <v>-16000</v>
      </c>
      <c r="H176" t="s">
        <v>170</v>
      </c>
      <c r="I176" t="s">
        <v>171</v>
      </c>
    </row>
    <row r="177" spans="1:9">
      <c r="A177" s="50">
        <v>46095</v>
      </c>
      <c r="B177" s="51">
        <v>0.8823958333333334</v>
      </c>
      <c r="C177" t="s">
        <v>167</v>
      </c>
      <c r="D177" t="s">
        <v>47</v>
      </c>
      <c r="E177" t="s">
        <v>296</v>
      </c>
      <c r="F177" t="s">
        <v>297</v>
      </c>
      <c r="G177">
        <v>-6980</v>
      </c>
      <c r="H177" t="s">
        <v>170</v>
      </c>
      <c r="I177" t="s">
        <v>171</v>
      </c>
    </row>
    <row r="178" spans="1:9">
      <c r="A178" s="50">
        <v>46095</v>
      </c>
      <c r="B178" s="51">
        <v>0.8703587962962963</v>
      </c>
      <c r="C178" t="s">
        <v>167</v>
      </c>
      <c r="D178" t="s">
        <v>47</v>
      </c>
      <c r="E178" t="s">
        <v>296</v>
      </c>
      <c r="F178" t="s">
        <v>297</v>
      </c>
      <c r="G178">
        <v>-36500</v>
      </c>
      <c r="H178" t="s">
        <v>170</v>
      </c>
      <c r="I178" t="s">
        <v>171</v>
      </c>
    </row>
    <row r="179" spans="1:9">
      <c r="A179" s="50">
        <v>46095</v>
      </c>
      <c r="B179" s="51">
        <v>0.8378819444444444</v>
      </c>
      <c r="C179" t="s">
        <v>167</v>
      </c>
      <c r="D179" t="s">
        <v>42</v>
      </c>
      <c r="E179" t="s">
        <v>235</v>
      </c>
      <c r="F179" t="s">
        <v>242</v>
      </c>
      <c r="G179">
        <v>-9320</v>
      </c>
      <c r="H179" t="s">
        <v>170</v>
      </c>
      <c r="I179" t="s">
        <v>243</v>
      </c>
    </row>
    <row r="180" spans="1:9">
      <c r="A180" s="50">
        <v>46095</v>
      </c>
      <c r="B180" s="51">
        <v>0.8023726851851852</v>
      </c>
      <c r="C180" t="s">
        <v>167</v>
      </c>
      <c r="D180" t="s">
        <v>47</v>
      </c>
      <c r="E180" t="s">
        <v>238</v>
      </c>
      <c r="F180" t="s">
        <v>307</v>
      </c>
      <c r="G180">
        <v>-206200</v>
      </c>
      <c r="H180" t="s">
        <v>170</v>
      </c>
      <c r="I180" t="s">
        <v>171</v>
      </c>
    </row>
    <row r="181" spans="1:9">
      <c r="A181" s="50">
        <v>46095</v>
      </c>
      <c r="B181" s="51">
        <v>0.6579166666666667</v>
      </c>
      <c r="C181" t="s">
        <v>167</v>
      </c>
      <c r="D181" t="s">
        <v>34</v>
      </c>
      <c r="E181" t="s">
        <v>208</v>
      </c>
      <c r="F181" t="s">
        <v>308</v>
      </c>
      <c r="G181">
        <v>-25000</v>
      </c>
      <c r="H181" t="s">
        <v>170</v>
      </c>
      <c r="I181" t="s">
        <v>237</v>
      </c>
    </row>
    <row r="182" spans="1:9">
      <c r="A182" s="50">
        <v>46095</v>
      </c>
      <c r="B182" s="51">
        <v>0.4423842592592593</v>
      </c>
      <c r="C182" t="s">
        <v>167</v>
      </c>
      <c r="D182" t="s">
        <v>34</v>
      </c>
      <c r="E182" t="s">
        <v>206</v>
      </c>
      <c r="F182" t="s">
        <v>309</v>
      </c>
      <c r="G182">
        <v>-600</v>
      </c>
      <c r="H182" t="s">
        <v>170</v>
      </c>
      <c r="I182" t="s">
        <v>171</v>
      </c>
    </row>
    <row r="183" spans="1:9">
      <c r="A183" s="50">
        <v>46095</v>
      </c>
      <c r="B183" s="51">
        <v>0.4332060185185185</v>
      </c>
      <c r="C183" t="s">
        <v>167</v>
      </c>
      <c r="D183" t="s">
        <v>34</v>
      </c>
      <c r="E183" t="s">
        <v>208</v>
      </c>
      <c r="F183" t="s">
        <v>310</v>
      </c>
      <c r="G183">
        <v>-300</v>
      </c>
      <c r="H183" t="s">
        <v>170</v>
      </c>
      <c r="I183" t="s">
        <v>171</v>
      </c>
    </row>
    <row r="184" spans="1:9">
      <c r="A184" s="50">
        <v>46095</v>
      </c>
      <c r="B184" s="51">
        <v>0.3374421296296296</v>
      </c>
      <c r="C184" t="s">
        <v>167</v>
      </c>
      <c r="D184" t="s">
        <v>41</v>
      </c>
      <c r="E184" t="s">
        <v>311</v>
      </c>
      <c r="F184" t="s">
        <v>312</v>
      </c>
      <c r="G184">
        <v>-782600</v>
      </c>
      <c r="H184" t="s">
        <v>170</v>
      </c>
      <c r="I184" t="s">
        <v>237</v>
      </c>
    </row>
    <row r="185" spans="1:9">
      <c r="A185" s="50">
        <v>46095</v>
      </c>
      <c r="B185" s="51">
        <v>0.1167361111111111</v>
      </c>
      <c r="C185" t="s">
        <v>167</v>
      </c>
      <c r="D185" t="s">
        <v>41</v>
      </c>
      <c r="E185" t="s">
        <v>210</v>
      </c>
      <c r="F185" t="s">
        <v>313</v>
      </c>
      <c r="G185">
        <v>20000</v>
      </c>
      <c r="H185" t="s">
        <v>170</v>
      </c>
      <c r="I185" t="s">
        <v>171</v>
      </c>
    </row>
    <row r="186" spans="1:9">
      <c r="A186" s="50">
        <v>46095</v>
      </c>
      <c r="B186" s="51">
        <v>0.006030092592592593</v>
      </c>
      <c r="C186" t="s">
        <v>167</v>
      </c>
      <c r="D186" t="s">
        <v>41</v>
      </c>
      <c r="E186" t="s">
        <v>210</v>
      </c>
      <c r="F186" t="s">
        <v>313</v>
      </c>
      <c r="G186">
        <v>-20000</v>
      </c>
      <c r="H186" t="s">
        <v>170</v>
      </c>
      <c r="I186" t="s">
        <v>171</v>
      </c>
    </row>
    <row r="187" spans="1:9">
      <c r="A187" s="50">
        <v>46094</v>
      </c>
      <c r="B187" s="51">
        <v>0.9990856481481482</v>
      </c>
      <c r="C187" t="s">
        <v>167</v>
      </c>
      <c r="D187" t="s">
        <v>41</v>
      </c>
      <c r="E187" t="s">
        <v>210</v>
      </c>
      <c r="F187" t="s">
        <v>211</v>
      </c>
      <c r="G187">
        <v>-174546</v>
      </c>
      <c r="H187" t="s">
        <v>170</v>
      </c>
      <c r="I187" t="s">
        <v>171</v>
      </c>
    </row>
    <row r="188" spans="1:9">
      <c r="A188" s="50">
        <v>46094</v>
      </c>
      <c r="B188" s="51">
        <v>0.90625</v>
      </c>
      <c r="C188" t="s">
        <v>167</v>
      </c>
      <c r="D188" t="s">
        <v>35</v>
      </c>
      <c r="E188" t="s">
        <v>225</v>
      </c>
      <c r="F188" t="s">
        <v>226</v>
      </c>
      <c r="G188">
        <v>-8000</v>
      </c>
      <c r="H188" t="s">
        <v>170</v>
      </c>
      <c r="I188" t="s">
        <v>171</v>
      </c>
    </row>
    <row r="189" spans="1:9">
      <c r="A189" s="50">
        <v>46094</v>
      </c>
      <c r="B189" s="51">
        <v>0.8295717592592593</v>
      </c>
      <c r="C189" t="s">
        <v>167</v>
      </c>
      <c r="D189" t="s">
        <v>35</v>
      </c>
      <c r="E189" t="s">
        <v>225</v>
      </c>
      <c r="F189" t="s">
        <v>226</v>
      </c>
      <c r="G189">
        <v>-139500</v>
      </c>
      <c r="H189" t="s">
        <v>170</v>
      </c>
      <c r="I189" t="s">
        <v>171</v>
      </c>
    </row>
    <row r="190" spans="1:9">
      <c r="A190" s="50">
        <v>46094</v>
      </c>
      <c r="B190" s="51">
        <v>0.7742824074074074</v>
      </c>
      <c r="C190" t="s">
        <v>167</v>
      </c>
      <c r="D190" t="s">
        <v>40</v>
      </c>
      <c r="E190" t="s">
        <v>244</v>
      </c>
      <c r="F190" t="s">
        <v>314</v>
      </c>
      <c r="G190">
        <v>-39000</v>
      </c>
      <c r="H190" t="s">
        <v>170</v>
      </c>
      <c r="I190" t="s">
        <v>171</v>
      </c>
    </row>
    <row r="191" spans="1:9">
      <c r="A191" s="50">
        <v>46094</v>
      </c>
      <c r="B191" s="51">
        <v>0.7609722222222223</v>
      </c>
      <c r="C191" t="s">
        <v>167</v>
      </c>
      <c r="D191" t="s">
        <v>47</v>
      </c>
      <c r="E191" t="s">
        <v>183</v>
      </c>
      <c r="F191" t="s">
        <v>184</v>
      </c>
      <c r="G191">
        <v>-24300</v>
      </c>
      <c r="H191" t="s">
        <v>170</v>
      </c>
      <c r="I191" t="s">
        <v>171</v>
      </c>
    </row>
    <row r="192" spans="1:9">
      <c r="A192" s="50">
        <v>46094</v>
      </c>
      <c r="B192" s="51">
        <v>0.5553356481481482</v>
      </c>
      <c r="C192" t="s">
        <v>167</v>
      </c>
      <c r="D192" t="s">
        <v>40</v>
      </c>
      <c r="E192" t="s">
        <v>176</v>
      </c>
      <c r="F192" t="s">
        <v>315</v>
      </c>
      <c r="G192">
        <v>-14000</v>
      </c>
      <c r="H192" t="s">
        <v>170</v>
      </c>
      <c r="I192" t="s">
        <v>171</v>
      </c>
    </row>
    <row r="193" spans="1:9">
      <c r="A193" s="50">
        <v>46093</v>
      </c>
      <c r="B193" s="51">
        <v>0.9047337962962962</v>
      </c>
      <c r="C193" t="s">
        <v>167</v>
      </c>
      <c r="D193" t="s">
        <v>35</v>
      </c>
      <c r="E193" t="s">
        <v>271</v>
      </c>
      <c r="F193" t="s">
        <v>316</v>
      </c>
      <c r="G193">
        <v>-76000</v>
      </c>
      <c r="H193" t="s">
        <v>170</v>
      </c>
      <c r="I193" t="s">
        <v>171</v>
      </c>
    </row>
    <row r="194" spans="1:9">
      <c r="A194" s="50">
        <v>46093</v>
      </c>
      <c r="B194" s="51">
        <v>0.8342939814814815</v>
      </c>
      <c r="C194" t="s">
        <v>167</v>
      </c>
      <c r="D194" t="s">
        <v>42</v>
      </c>
      <c r="E194" t="s">
        <v>235</v>
      </c>
      <c r="F194" t="s">
        <v>242</v>
      </c>
      <c r="G194">
        <v>-23080</v>
      </c>
      <c r="H194" t="s">
        <v>170</v>
      </c>
      <c r="I194" t="s">
        <v>243</v>
      </c>
    </row>
    <row r="195" spans="1:9">
      <c r="A195" s="50">
        <v>46093</v>
      </c>
      <c r="B195" s="51">
        <v>0.7680092592592592</v>
      </c>
      <c r="C195" t="s">
        <v>167</v>
      </c>
      <c r="D195" t="s">
        <v>40</v>
      </c>
      <c r="E195" t="s">
        <v>261</v>
      </c>
      <c r="F195" t="s">
        <v>304</v>
      </c>
      <c r="G195">
        <v>-26100</v>
      </c>
      <c r="H195" t="s">
        <v>170</v>
      </c>
      <c r="I195" t="s">
        <v>253</v>
      </c>
    </row>
    <row r="196" spans="1:9">
      <c r="A196" s="50">
        <v>46093</v>
      </c>
      <c r="B196" s="51">
        <v>0.5287962962962963</v>
      </c>
      <c r="C196" t="s">
        <v>167</v>
      </c>
      <c r="D196" t="s">
        <v>40</v>
      </c>
      <c r="E196" t="s">
        <v>176</v>
      </c>
      <c r="F196" t="s">
        <v>317</v>
      </c>
      <c r="G196">
        <v>-12000</v>
      </c>
      <c r="H196" t="s">
        <v>170</v>
      </c>
      <c r="I196" t="s">
        <v>171</v>
      </c>
    </row>
    <row r="197" spans="1:9">
      <c r="A197" s="50">
        <v>46093</v>
      </c>
      <c r="B197" s="51">
        <v>0.364074074074074</v>
      </c>
      <c r="C197" t="s">
        <v>167</v>
      </c>
      <c r="D197" t="s">
        <v>38</v>
      </c>
      <c r="E197" t="s">
        <v>181</v>
      </c>
      <c r="F197" t="s">
        <v>285</v>
      </c>
      <c r="G197">
        <v>-2400</v>
      </c>
      <c r="H197" t="s">
        <v>170</v>
      </c>
      <c r="I197" t="s">
        <v>171</v>
      </c>
    </row>
    <row r="198" spans="1:9">
      <c r="A198" s="50">
        <v>46092</v>
      </c>
      <c r="B198" s="51">
        <v>0.8297222222222222</v>
      </c>
      <c r="C198" t="s">
        <v>167</v>
      </c>
      <c r="D198" t="s">
        <v>40</v>
      </c>
      <c r="E198" t="s">
        <v>176</v>
      </c>
      <c r="F198" t="s">
        <v>318</v>
      </c>
      <c r="G198">
        <v>-9000</v>
      </c>
      <c r="H198" t="s">
        <v>170</v>
      </c>
      <c r="I198" t="s">
        <v>171</v>
      </c>
    </row>
    <row r="199" spans="1:9">
      <c r="A199" s="50">
        <v>46092</v>
      </c>
      <c r="B199" s="51">
        <v>0.749837962962963</v>
      </c>
      <c r="C199" t="s">
        <v>172</v>
      </c>
      <c r="D199" t="s">
        <v>195</v>
      </c>
      <c r="E199" t="s">
        <v>173</v>
      </c>
      <c r="F199" t="s">
        <v>7</v>
      </c>
      <c r="G199">
        <v>700000</v>
      </c>
      <c r="H199" t="s">
        <v>170</v>
      </c>
      <c r="I199" t="s">
        <v>67</v>
      </c>
    </row>
    <row r="200" spans="1:9">
      <c r="A200" s="50">
        <v>46092</v>
      </c>
      <c r="B200" s="51">
        <v>0.749837962962963</v>
      </c>
      <c r="C200" t="s">
        <v>172</v>
      </c>
      <c r="D200" t="s">
        <v>195</v>
      </c>
      <c r="E200" t="s">
        <v>173</v>
      </c>
      <c r="F200" t="s">
        <v>319</v>
      </c>
      <c r="G200">
        <v>-700000</v>
      </c>
      <c r="H200" t="s">
        <v>170</v>
      </c>
      <c r="I200" t="s">
        <v>59</v>
      </c>
    </row>
    <row r="201" spans="1:9">
      <c r="A201" s="50">
        <v>46092</v>
      </c>
      <c r="B201" s="51">
        <v>0.7220949074074074</v>
      </c>
      <c r="C201" t="s">
        <v>167</v>
      </c>
      <c r="D201" t="s">
        <v>42</v>
      </c>
      <c r="E201" t="s">
        <v>235</v>
      </c>
      <c r="F201" t="s">
        <v>242</v>
      </c>
      <c r="G201">
        <v>-1380</v>
      </c>
      <c r="H201" t="s">
        <v>170</v>
      </c>
      <c r="I201" t="s">
        <v>243</v>
      </c>
    </row>
    <row r="202" spans="1:9">
      <c r="A202" s="50">
        <v>46092</v>
      </c>
      <c r="B202" s="51">
        <v>0.7207870370370371</v>
      </c>
      <c r="C202" t="s">
        <v>167</v>
      </c>
      <c r="D202" t="s">
        <v>42</v>
      </c>
      <c r="E202" t="s">
        <v>188</v>
      </c>
      <c r="F202" t="s">
        <v>320</v>
      </c>
      <c r="G202">
        <v>-7890</v>
      </c>
      <c r="H202" t="s">
        <v>170</v>
      </c>
      <c r="I202" t="s">
        <v>243</v>
      </c>
    </row>
    <row r="203" spans="1:9">
      <c r="A203" s="50">
        <v>46092</v>
      </c>
      <c r="B203" s="51">
        <v>0.5467708333333333</v>
      </c>
      <c r="C203" t="s">
        <v>167</v>
      </c>
      <c r="D203" t="s">
        <v>40</v>
      </c>
      <c r="E203" t="s">
        <v>176</v>
      </c>
      <c r="F203" t="s">
        <v>321</v>
      </c>
      <c r="G203">
        <v>-13000</v>
      </c>
      <c r="H203" t="s">
        <v>170</v>
      </c>
      <c r="I203" t="s">
        <v>171</v>
      </c>
    </row>
    <row r="204" spans="1:9">
      <c r="A204" s="50">
        <v>46091</v>
      </c>
      <c r="B204" s="51">
        <v>0.8070023148148148</v>
      </c>
      <c r="C204" t="s">
        <v>167</v>
      </c>
      <c r="D204" t="s">
        <v>38</v>
      </c>
      <c r="E204" t="s">
        <v>181</v>
      </c>
      <c r="F204" t="s">
        <v>281</v>
      </c>
      <c r="G204">
        <v>-1200</v>
      </c>
      <c r="H204" t="s">
        <v>170</v>
      </c>
      <c r="I204" t="s">
        <v>171</v>
      </c>
    </row>
    <row r="205" spans="1:9">
      <c r="A205" s="50">
        <v>46091</v>
      </c>
      <c r="B205" s="51">
        <v>0.7701967592592592</v>
      </c>
      <c r="C205" t="s">
        <v>167</v>
      </c>
      <c r="D205" t="s">
        <v>40</v>
      </c>
      <c r="E205" t="s">
        <v>261</v>
      </c>
      <c r="F205" t="s">
        <v>304</v>
      </c>
      <c r="G205">
        <v>-34500</v>
      </c>
      <c r="H205" t="s">
        <v>170</v>
      </c>
      <c r="I205" t="s">
        <v>253</v>
      </c>
    </row>
    <row r="206" spans="1:9">
      <c r="A206" s="50">
        <v>46091</v>
      </c>
      <c r="B206" s="51">
        <v>0.7638541666666666</v>
      </c>
      <c r="C206" t="s">
        <v>167</v>
      </c>
      <c r="D206" t="s">
        <v>36</v>
      </c>
      <c r="E206" t="s">
        <v>322</v>
      </c>
      <c r="F206" t="s">
        <v>323</v>
      </c>
      <c r="G206">
        <v>-13900</v>
      </c>
      <c r="H206" t="s">
        <v>170</v>
      </c>
      <c r="I206" t="s">
        <v>171</v>
      </c>
    </row>
    <row r="207" spans="1:9">
      <c r="A207" s="50">
        <v>46091</v>
      </c>
      <c r="B207" s="51">
        <v>0.5274537037037037</v>
      </c>
      <c r="C207" t="s">
        <v>167</v>
      </c>
      <c r="D207" t="s">
        <v>40</v>
      </c>
      <c r="E207" t="s">
        <v>324</v>
      </c>
      <c r="F207" t="s">
        <v>325</v>
      </c>
      <c r="G207">
        <v>-9900</v>
      </c>
      <c r="H207" t="s">
        <v>170</v>
      </c>
      <c r="I207" t="s">
        <v>171</v>
      </c>
    </row>
    <row r="208" spans="1:9">
      <c r="A208" s="50">
        <v>46090</v>
      </c>
      <c r="B208" s="51">
        <v>0.7850462962962963</v>
      </c>
      <c r="C208" t="s">
        <v>167</v>
      </c>
      <c r="D208" t="s">
        <v>40</v>
      </c>
      <c r="E208" t="s">
        <v>261</v>
      </c>
      <c r="F208" t="s">
        <v>304</v>
      </c>
      <c r="G208">
        <v>-17300</v>
      </c>
      <c r="H208" t="s">
        <v>170</v>
      </c>
      <c r="I208" t="s">
        <v>253</v>
      </c>
    </row>
    <row r="209" spans="1:9">
      <c r="A209" s="50">
        <v>46090</v>
      </c>
      <c r="B209" s="51">
        <v>0.7846412037037037</v>
      </c>
      <c r="C209" t="s">
        <v>167</v>
      </c>
      <c r="D209" t="s">
        <v>40</v>
      </c>
      <c r="E209" t="s">
        <v>261</v>
      </c>
      <c r="F209" t="s">
        <v>304</v>
      </c>
      <c r="G209">
        <v>-1990</v>
      </c>
      <c r="H209" t="s">
        <v>170</v>
      </c>
      <c r="I209" t="s">
        <v>253</v>
      </c>
    </row>
    <row r="210" spans="1:9">
      <c r="A210" s="50">
        <v>46090</v>
      </c>
      <c r="B210" s="51">
        <v>0.5459722222222222</v>
      </c>
      <c r="C210" t="s">
        <v>167</v>
      </c>
      <c r="D210" t="s">
        <v>40</v>
      </c>
      <c r="E210" t="s">
        <v>176</v>
      </c>
      <c r="F210" t="s">
        <v>326</v>
      </c>
      <c r="G210">
        <v>-10000</v>
      </c>
      <c r="H210" t="s">
        <v>170</v>
      </c>
      <c r="I210" t="s">
        <v>171</v>
      </c>
    </row>
    <row r="211" spans="1:9">
      <c r="A211" s="50">
        <v>46089</v>
      </c>
      <c r="B211" s="51">
        <v>0.7296296296296296</v>
      </c>
      <c r="C211" t="s">
        <v>167</v>
      </c>
      <c r="D211" t="s">
        <v>42</v>
      </c>
      <c r="E211" t="s">
        <v>235</v>
      </c>
      <c r="F211" t="s">
        <v>247</v>
      </c>
      <c r="G211">
        <v>-7490</v>
      </c>
      <c r="H211" t="s">
        <v>170</v>
      </c>
      <c r="I211" t="s">
        <v>237</v>
      </c>
    </row>
    <row r="212" spans="1:9">
      <c r="A212" s="50">
        <v>46089</v>
      </c>
      <c r="B212" s="51">
        <v>0.4210995370370371</v>
      </c>
      <c r="C212" t="s">
        <v>167</v>
      </c>
      <c r="D212" t="s">
        <v>40</v>
      </c>
      <c r="E212" t="s">
        <v>261</v>
      </c>
      <c r="F212" t="s">
        <v>304</v>
      </c>
      <c r="G212">
        <v>-31000</v>
      </c>
      <c r="H212" t="s">
        <v>170</v>
      </c>
      <c r="I212" t="s">
        <v>253</v>
      </c>
    </row>
    <row r="213" spans="1:9">
      <c r="A213" s="50">
        <v>46088</v>
      </c>
      <c r="B213" s="51">
        <v>0.7602199074074074</v>
      </c>
      <c r="C213" t="s">
        <v>167</v>
      </c>
      <c r="D213" t="s">
        <v>38</v>
      </c>
      <c r="E213" t="s">
        <v>223</v>
      </c>
      <c r="F213" t="s">
        <v>327</v>
      </c>
      <c r="G213">
        <v>-89600</v>
      </c>
      <c r="H213" t="s">
        <v>170</v>
      </c>
      <c r="I213" t="s">
        <v>171</v>
      </c>
    </row>
    <row r="214" spans="1:9">
      <c r="A214" s="50">
        <v>46088</v>
      </c>
      <c r="B214" s="51">
        <v>0.7285763888888889</v>
      </c>
      <c r="C214" t="s">
        <v>167</v>
      </c>
      <c r="D214" t="s">
        <v>40</v>
      </c>
      <c r="E214" t="s">
        <v>269</v>
      </c>
      <c r="F214" t="s">
        <v>328</v>
      </c>
      <c r="G214">
        <v>-64000</v>
      </c>
      <c r="H214" t="s">
        <v>170</v>
      </c>
      <c r="I214" t="s">
        <v>171</v>
      </c>
    </row>
    <row r="215" spans="1:9">
      <c r="A215" s="50">
        <v>46088</v>
      </c>
      <c r="B215" s="51">
        <v>0.382025462962963</v>
      </c>
      <c r="C215" t="s">
        <v>167</v>
      </c>
      <c r="D215" t="s">
        <v>40</v>
      </c>
      <c r="E215" t="s">
        <v>244</v>
      </c>
      <c r="F215" t="s">
        <v>251</v>
      </c>
      <c r="G215">
        <v>-3000</v>
      </c>
      <c r="H215" t="s">
        <v>170</v>
      </c>
      <c r="I215" t="s">
        <v>171</v>
      </c>
    </row>
    <row r="216" spans="1:9">
      <c r="A216" s="50">
        <v>46088</v>
      </c>
      <c r="B216" s="51">
        <v>0.3625694444444444</v>
      </c>
      <c r="C216" t="s">
        <v>167</v>
      </c>
      <c r="D216" t="s">
        <v>40</v>
      </c>
      <c r="E216" t="s">
        <v>244</v>
      </c>
      <c r="F216" t="s">
        <v>251</v>
      </c>
      <c r="G216">
        <v>-15500</v>
      </c>
      <c r="H216" t="s">
        <v>170</v>
      </c>
      <c r="I216" t="s">
        <v>171</v>
      </c>
    </row>
    <row r="217" spans="1:9">
      <c r="A217" s="50">
        <v>46087</v>
      </c>
      <c r="B217" s="51">
        <v>0.8803587962962963</v>
      </c>
      <c r="C217" t="s">
        <v>167</v>
      </c>
      <c r="D217" t="s">
        <v>38</v>
      </c>
      <c r="E217" t="s">
        <v>181</v>
      </c>
      <c r="F217" t="s">
        <v>281</v>
      </c>
      <c r="G217">
        <v>-5500</v>
      </c>
      <c r="H217" t="s">
        <v>170</v>
      </c>
      <c r="I217" t="s">
        <v>171</v>
      </c>
    </row>
    <row r="218" spans="1:9">
      <c r="A218" s="50">
        <v>46087</v>
      </c>
      <c r="B218" s="51">
        <v>0.5458680555555555</v>
      </c>
      <c r="C218" t="s">
        <v>167</v>
      </c>
      <c r="D218" t="s">
        <v>40</v>
      </c>
      <c r="E218" t="s">
        <v>176</v>
      </c>
      <c r="F218" t="s">
        <v>315</v>
      </c>
      <c r="G218">
        <v>-15000</v>
      </c>
      <c r="H218" t="s">
        <v>170</v>
      </c>
      <c r="I218" t="s">
        <v>171</v>
      </c>
    </row>
    <row r="219" spans="1:9">
      <c r="A219" s="50">
        <v>46086</v>
      </c>
      <c r="B219" s="51">
        <v>0.8674884259259259</v>
      </c>
      <c r="C219" t="s">
        <v>167</v>
      </c>
      <c r="D219" t="s">
        <v>42</v>
      </c>
      <c r="E219" t="s">
        <v>188</v>
      </c>
      <c r="F219" t="s">
        <v>231</v>
      </c>
      <c r="G219">
        <v>-14900</v>
      </c>
      <c r="H219" t="s">
        <v>170</v>
      </c>
      <c r="I219" t="s">
        <v>187</v>
      </c>
    </row>
    <row r="220" spans="1:9">
      <c r="A220" s="50">
        <v>46086</v>
      </c>
      <c r="B220" s="51">
        <v>0.8284837962962963</v>
      </c>
      <c r="C220" t="s">
        <v>167</v>
      </c>
      <c r="D220" t="s">
        <v>40</v>
      </c>
      <c r="E220" t="s">
        <v>261</v>
      </c>
      <c r="F220" t="s">
        <v>304</v>
      </c>
      <c r="G220">
        <v>-39200</v>
      </c>
      <c r="H220" t="s">
        <v>170</v>
      </c>
      <c r="I220" t="s">
        <v>253</v>
      </c>
    </row>
    <row r="221" spans="1:9">
      <c r="A221" s="50">
        <v>46086</v>
      </c>
      <c r="B221" s="51">
        <v>0.817037037037037</v>
      </c>
      <c r="C221" t="s">
        <v>167</v>
      </c>
      <c r="D221" t="s">
        <v>38</v>
      </c>
      <c r="E221" t="s">
        <v>181</v>
      </c>
      <c r="F221" t="s">
        <v>281</v>
      </c>
      <c r="G221">
        <v>-4900</v>
      </c>
      <c r="H221" t="s">
        <v>170</v>
      </c>
      <c r="I221" t="s">
        <v>171</v>
      </c>
    </row>
    <row r="222" spans="1:9">
      <c r="A222" s="50">
        <v>46086</v>
      </c>
      <c r="B222" s="51">
        <v>0.5460185185185186</v>
      </c>
      <c r="C222" t="s">
        <v>167</v>
      </c>
      <c r="D222" t="s">
        <v>40</v>
      </c>
      <c r="E222" t="s">
        <v>176</v>
      </c>
      <c r="F222" t="s">
        <v>321</v>
      </c>
      <c r="G222">
        <v>-13000</v>
      </c>
      <c r="H222" t="s">
        <v>170</v>
      </c>
      <c r="I222" t="s">
        <v>171</v>
      </c>
    </row>
    <row r="223" spans="1:9">
      <c r="A223" s="50">
        <v>46085</v>
      </c>
      <c r="B223" s="51">
        <v>0.7881712962962963</v>
      </c>
      <c r="C223" t="s">
        <v>167</v>
      </c>
      <c r="D223" t="s">
        <v>40</v>
      </c>
      <c r="E223" t="s">
        <v>329</v>
      </c>
      <c r="F223" t="s">
        <v>330</v>
      </c>
      <c r="G223">
        <v>-23000</v>
      </c>
      <c r="H223" t="s">
        <v>170</v>
      </c>
      <c r="I223" t="s">
        <v>243</v>
      </c>
    </row>
    <row r="224" spans="1:9">
      <c r="A224" s="50">
        <v>46085</v>
      </c>
      <c r="B224" s="51">
        <v>0.3613541666666666</v>
      </c>
      <c r="C224" t="s">
        <v>167</v>
      </c>
      <c r="D224" t="s">
        <v>34</v>
      </c>
      <c r="E224" t="s">
        <v>206</v>
      </c>
      <c r="F224" t="s">
        <v>246</v>
      </c>
      <c r="G224">
        <v>-32640</v>
      </c>
      <c r="H224" t="s">
        <v>170</v>
      </c>
      <c r="I224" t="s">
        <v>237</v>
      </c>
    </row>
    <row r="225" spans="1:9">
      <c r="A225" s="50">
        <v>46085</v>
      </c>
      <c r="B225" s="51">
        <v>0.08315972222222222</v>
      </c>
      <c r="C225" t="s">
        <v>172</v>
      </c>
      <c r="D225" t="s">
        <v>195</v>
      </c>
      <c r="E225" t="s">
        <v>173</v>
      </c>
      <c r="F225" t="s">
        <v>264</v>
      </c>
      <c r="G225">
        <v>13496</v>
      </c>
      <c r="H225" t="s">
        <v>170</v>
      </c>
      <c r="I225" t="s">
        <v>175</v>
      </c>
    </row>
    <row r="226" spans="1:9">
      <c r="A226" s="50">
        <v>46085</v>
      </c>
      <c r="B226" s="51">
        <v>0.08315972222222222</v>
      </c>
      <c r="C226" t="s">
        <v>167</v>
      </c>
      <c r="D226" t="s">
        <v>42</v>
      </c>
      <c r="E226" t="s">
        <v>188</v>
      </c>
      <c r="F226" t="s">
        <v>252</v>
      </c>
      <c r="G226">
        <v>-13500</v>
      </c>
      <c r="H226" t="s">
        <v>170</v>
      </c>
      <c r="I226" t="s">
        <v>253</v>
      </c>
    </row>
    <row r="227" spans="1:9">
      <c r="A227" s="50">
        <v>46085</v>
      </c>
      <c r="B227" s="51">
        <v>0.08315972222222222</v>
      </c>
      <c r="C227" t="s">
        <v>172</v>
      </c>
      <c r="D227" t="s">
        <v>195</v>
      </c>
      <c r="E227" t="s">
        <v>173</v>
      </c>
      <c r="F227" t="s">
        <v>265</v>
      </c>
      <c r="G227">
        <v>-13496</v>
      </c>
      <c r="H227" t="s">
        <v>170</v>
      </c>
      <c r="I227" t="s">
        <v>61</v>
      </c>
    </row>
    <row r="228" spans="1:9">
      <c r="A228" s="50">
        <v>46085</v>
      </c>
      <c r="B228" s="51">
        <v>0.009525462962962963</v>
      </c>
      <c r="C228" t="s">
        <v>167</v>
      </c>
      <c r="D228" t="s">
        <v>34</v>
      </c>
      <c r="E228" t="s">
        <v>206</v>
      </c>
      <c r="F228" t="s">
        <v>246</v>
      </c>
      <c r="G228">
        <v>-67640</v>
      </c>
      <c r="H228" t="s">
        <v>170</v>
      </c>
      <c r="I228" t="s">
        <v>237</v>
      </c>
    </row>
    <row r="229" spans="1:9">
      <c r="A229" s="50">
        <v>46084</v>
      </c>
      <c r="B229" s="51">
        <v>0.8446180555555556</v>
      </c>
      <c r="C229" t="s">
        <v>167</v>
      </c>
      <c r="D229" t="s">
        <v>34</v>
      </c>
      <c r="E229" t="s">
        <v>206</v>
      </c>
      <c r="F229" t="s">
        <v>246</v>
      </c>
      <c r="G229">
        <v>-42780</v>
      </c>
      <c r="H229" t="s">
        <v>170</v>
      </c>
      <c r="I229" t="s">
        <v>237</v>
      </c>
    </row>
    <row r="230" spans="1:9">
      <c r="A230" s="50">
        <v>46084</v>
      </c>
      <c r="B230" s="51">
        <v>0.7655092592592593</v>
      </c>
      <c r="C230" t="s">
        <v>167</v>
      </c>
      <c r="D230" t="s">
        <v>43</v>
      </c>
      <c r="E230" t="s">
        <v>203</v>
      </c>
      <c r="F230" t="s">
        <v>331</v>
      </c>
      <c r="G230">
        <v>-7900</v>
      </c>
      <c r="H230" t="s">
        <v>170</v>
      </c>
      <c r="I230" t="s">
        <v>171</v>
      </c>
    </row>
    <row r="231" spans="1:9">
      <c r="A231" s="50">
        <v>46084</v>
      </c>
      <c r="B231" s="51">
        <v>0.7628125</v>
      </c>
      <c r="C231" t="s">
        <v>167</v>
      </c>
      <c r="D231" t="s">
        <v>43</v>
      </c>
      <c r="E231" t="s">
        <v>332</v>
      </c>
      <c r="F231" t="s">
        <v>333</v>
      </c>
      <c r="G231">
        <v>-10800</v>
      </c>
      <c r="H231" t="s">
        <v>170</v>
      </c>
      <c r="I231" t="s">
        <v>171</v>
      </c>
    </row>
    <row r="232" spans="1:9">
      <c r="A232" s="50">
        <v>46084</v>
      </c>
      <c r="B232" s="51">
        <v>0.5294328703703703</v>
      </c>
      <c r="C232" t="s">
        <v>167</v>
      </c>
      <c r="D232" t="s">
        <v>40</v>
      </c>
      <c r="E232" t="s">
        <v>244</v>
      </c>
      <c r="F232" t="s">
        <v>314</v>
      </c>
      <c r="G232">
        <v>-17400</v>
      </c>
      <c r="H232" t="s">
        <v>170</v>
      </c>
      <c r="I232" t="s">
        <v>171</v>
      </c>
    </row>
    <row r="233" spans="1:9">
      <c r="A233" s="50">
        <v>46084</v>
      </c>
      <c r="B233" s="51">
        <v>0.4249189814814815</v>
      </c>
      <c r="C233" t="s">
        <v>167</v>
      </c>
      <c r="D233" t="s">
        <v>42</v>
      </c>
      <c r="E233" t="s">
        <v>188</v>
      </c>
      <c r="F233" t="s">
        <v>256</v>
      </c>
      <c r="G233">
        <v>-2990</v>
      </c>
      <c r="H233" t="s">
        <v>170</v>
      </c>
      <c r="I233" t="s">
        <v>237</v>
      </c>
    </row>
    <row r="234" spans="1:9">
      <c r="A234" s="50">
        <v>46083</v>
      </c>
      <c r="B234" s="51">
        <v>0.8405439814814815</v>
      </c>
      <c r="C234" t="s">
        <v>167</v>
      </c>
      <c r="D234" t="s">
        <v>38</v>
      </c>
      <c r="E234" t="s">
        <v>181</v>
      </c>
      <c r="F234" t="s">
        <v>281</v>
      </c>
      <c r="G234">
        <v>-8500</v>
      </c>
      <c r="H234" t="s">
        <v>170</v>
      </c>
      <c r="I234" t="s">
        <v>171</v>
      </c>
    </row>
    <row r="235" spans="1:9">
      <c r="A235" s="50">
        <v>46083</v>
      </c>
      <c r="B235" s="51">
        <v>0.8225347222222222</v>
      </c>
      <c r="C235" t="s">
        <v>167</v>
      </c>
      <c r="D235" t="s">
        <v>35</v>
      </c>
      <c r="E235" t="s">
        <v>334</v>
      </c>
      <c r="F235" t="s">
        <v>335</v>
      </c>
      <c r="G235">
        <v>-14000</v>
      </c>
      <c r="H235" t="s">
        <v>170</v>
      </c>
      <c r="I235" t="s">
        <v>171</v>
      </c>
    </row>
    <row r="236" spans="1:9">
      <c r="A236" s="50">
        <v>46083</v>
      </c>
      <c r="B236" s="51">
        <v>0.6934953703703703</v>
      </c>
      <c r="C236" t="s">
        <v>167</v>
      </c>
      <c r="D236" t="s">
        <v>46</v>
      </c>
      <c r="E236" t="s">
        <v>168</v>
      </c>
      <c r="F236" t="s">
        <v>336</v>
      </c>
      <c r="G236">
        <v>-11200</v>
      </c>
      <c r="H236" t="s">
        <v>170</v>
      </c>
      <c r="I236" t="s">
        <v>171</v>
      </c>
    </row>
    <row r="237" spans="1:9">
      <c r="A237" s="50">
        <v>46083</v>
      </c>
      <c r="B237" s="51">
        <v>0.5548958333333334</v>
      </c>
      <c r="C237" t="s">
        <v>167</v>
      </c>
      <c r="D237" t="s">
        <v>34</v>
      </c>
      <c r="E237" t="s">
        <v>208</v>
      </c>
      <c r="F237" t="s">
        <v>308</v>
      </c>
      <c r="G237">
        <v>-66000</v>
      </c>
      <c r="H237" t="s">
        <v>170</v>
      </c>
      <c r="I237" t="s">
        <v>237</v>
      </c>
    </row>
    <row r="238" spans="1:9">
      <c r="A238" s="50">
        <v>46082</v>
      </c>
      <c r="B238" s="51">
        <v>0.9043865740740741</v>
      </c>
      <c r="C238" t="s">
        <v>167</v>
      </c>
      <c r="D238" t="s">
        <v>38</v>
      </c>
      <c r="E238" t="s">
        <v>181</v>
      </c>
      <c r="F238" t="s">
        <v>192</v>
      </c>
      <c r="G238">
        <v>-1500</v>
      </c>
      <c r="H238" t="s">
        <v>170</v>
      </c>
      <c r="I238" t="s">
        <v>171</v>
      </c>
    </row>
    <row r="239" spans="1:9">
      <c r="A239" s="50">
        <v>46082</v>
      </c>
      <c r="B239" s="51">
        <v>0.8805787037037037</v>
      </c>
      <c r="C239" t="s">
        <v>172</v>
      </c>
      <c r="D239" t="s">
        <v>172</v>
      </c>
      <c r="E239" t="s">
        <v>173</v>
      </c>
      <c r="F239" t="s">
        <v>265</v>
      </c>
      <c r="G239">
        <v>-46000</v>
      </c>
      <c r="H239" t="s">
        <v>170</v>
      </c>
      <c r="I239" t="s">
        <v>61</v>
      </c>
    </row>
    <row r="240" spans="1:9">
      <c r="A240" s="50">
        <v>46082</v>
      </c>
      <c r="B240" s="51">
        <v>0.4768981481481481</v>
      </c>
      <c r="C240" t="s">
        <v>172</v>
      </c>
      <c r="D240" t="s">
        <v>172</v>
      </c>
      <c r="E240" t="s">
        <v>173</v>
      </c>
      <c r="F240" t="s">
        <v>265</v>
      </c>
      <c r="G240">
        <v>-20000</v>
      </c>
      <c r="H240" t="s">
        <v>170</v>
      </c>
      <c r="I240" t="s">
        <v>61</v>
      </c>
    </row>
    <row r="241" spans="1:9">
      <c r="A241" s="50">
        <v>46082</v>
      </c>
      <c r="B241" s="51">
        <v>0.3690856481481481</v>
      </c>
      <c r="C241" t="s">
        <v>167</v>
      </c>
      <c r="D241" t="s">
        <v>46</v>
      </c>
      <c r="E241" t="s">
        <v>168</v>
      </c>
      <c r="F241" t="s">
        <v>305</v>
      </c>
      <c r="G241">
        <v>-6000</v>
      </c>
      <c r="H241" t="s">
        <v>170</v>
      </c>
      <c r="I241" t="s">
        <v>171</v>
      </c>
    </row>
    <row r="242" spans="1:9">
      <c r="A242" s="50">
        <v>46081</v>
      </c>
      <c r="B242" s="51">
        <v>0.7280787037037038</v>
      </c>
      <c r="C242" t="s">
        <v>167</v>
      </c>
      <c r="D242" t="s">
        <v>40</v>
      </c>
      <c r="E242" t="s">
        <v>176</v>
      </c>
      <c r="F242" t="s">
        <v>337</v>
      </c>
      <c r="G242">
        <v>-30000</v>
      </c>
      <c r="H242" t="s">
        <v>170</v>
      </c>
      <c r="I242" t="s">
        <v>171</v>
      </c>
    </row>
    <row r="243" spans="1:9">
      <c r="A243" s="50">
        <v>46081</v>
      </c>
      <c r="B243" s="51">
        <v>0.3514467592592593</v>
      </c>
      <c r="C243" t="s">
        <v>167</v>
      </c>
      <c r="D243" t="s">
        <v>46</v>
      </c>
      <c r="E243" t="s">
        <v>168</v>
      </c>
      <c r="F243" t="s">
        <v>305</v>
      </c>
      <c r="G243">
        <v>-10000</v>
      </c>
      <c r="H243" t="s">
        <v>170</v>
      </c>
      <c r="I243" t="s">
        <v>171</v>
      </c>
    </row>
    <row r="244" spans="1:9">
      <c r="A244" s="50">
        <v>46081</v>
      </c>
      <c r="B244" s="51">
        <v>0.311712962962963</v>
      </c>
      <c r="C244" t="s">
        <v>167</v>
      </c>
      <c r="D244" t="s">
        <v>42</v>
      </c>
      <c r="E244" t="s">
        <v>338</v>
      </c>
      <c r="F244" t="s">
        <v>339</v>
      </c>
      <c r="G244">
        <v>-12000</v>
      </c>
      <c r="H244" t="s">
        <v>170</v>
      </c>
      <c r="I244" t="s">
        <v>187</v>
      </c>
    </row>
    <row r="245" spans="1:9">
      <c r="A245" s="50">
        <v>46081</v>
      </c>
      <c r="B245" s="51">
        <v>0.269224537037037</v>
      </c>
      <c r="C245" t="s">
        <v>233</v>
      </c>
      <c r="D245" t="s">
        <v>28</v>
      </c>
      <c r="E245" t="s">
        <v>173</v>
      </c>
      <c r="F245" t="s">
        <v>278</v>
      </c>
      <c r="G245">
        <v>0</v>
      </c>
      <c r="H245" t="s">
        <v>170</v>
      </c>
      <c r="I245" t="s">
        <v>60</v>
      </c>
    </row>
    <row r="246" spans="1:9">
      <c r="A246" s="50">
        <v>46081</v>
      </c>
      <c r="B246" s="51">
        <v>0.2626851851851852</v>
      </c>
      <c r="C246" t="s">
        <v>233</v>
      </c>
      <c r="D246" t="s">
        <v>28</v>
      </c>
      <c r="E246" t="s">
        <v>173</v>
      </c>
      <c r="F246" t="s">
        <v>278</v>
      </c>
      <c r="G246">
        <v>1</v>
      </c>
      <c r="H246" t="s">
        <v>170</v>
      </c>
      <c r="I246" t="s">
        <v>60</v>
      </c>
    </row>
    <row r="247" spans="1:9">
      <c r="A247" s="50">
        <v>46081</v>
      </c>
      <c r="B247" s="51">
        <v>0</v>
      </c>
      <c r="C247" t="s">
        <v>167</v>
      </c>
      <c r="D247" t="s">
        <v>34</v>
      </c>
      <c r="E247" t="s">
        <v>206</v>
      </c>
      <c r="F247" t="s">
        <v>340</v>
      </c>
      <c r="G247">
        <v>-200</v>
      </c>
      <c r="H247" t="s">
        <v>170</v>
      </c>
      <c r="I247" t="s">
        <v>187</v>
      </c>
    </row>
    <row r="248" spans="1:9">
      <c r="A248" s="50">
        <v>46080</v>
      </c>
      <c r="B248" s="51">
        <v>0.9444791666666666</v>
      </c>
      <c r="C248" t="s">
        <v>167</v>
      </c>
      <c r="D248" t="s">
        <v>38</v>
      </c>
      <c r="E248" t="s">
        <v>181</v>
      </c>
      <c r="F248" t="s">
        <v>341</v>
      </c>
      <c r="G248">
        <v>-5800</v>
      </c>
      <c r="H248" t="s">
        <v>170</v>
      </c>
      <c r="I248" t="s">
        <v>243</v>
      </c>
    </row>
    <row r="249" spans="1:9">
      <c r="A249" s="50">
        <v>46080</v>
      </c>
      <c r="B249" s="51">
        <v>0.9441550925925926</v>
      </c>
      <c r="C249" t="s">
        <v>172</v>
      </c>
      <c r="D249" t="s">
        <v>195</v>
      </c>
      <c r="E249" t="s">
        <v>173</v>
      </c>
      <c r="F249" t="s">
        <v>264</v>
      </c>
      <c r="G249">
        <v>285000</v>
      </c>
      <c r="H249" t="s">
        <v>170</v>
      </c>
      <c r="I249" t="s">
        <v>175</v>
      </c>
    </row>
    <row r="250" spans="1:9">
      <c r="A250" s="50">
        <v>46080</v>
      </c>
      <c r="B250" s="51">
        <v>0.9441550925925926</v>
      </c>
      <c r="C250" t="s">
        <v>172</v>
      </c>
      <c r="D250" t="s">
        <v>172</v>
      </c>
      <c r="E250" t="s">
        <v>173</v>
      </c>
      <c r="F250" t="s">
        <v>264</v>
      </c>
      <c r="G250">
        <v>-300000</v>
      </c>
      <c r="H250" t="s">
        <v>170</v>
      </c>
      <c r="I250" t="s">
        <v>175</v>
      </c>
    </row>
    <row r="251" spans="1:9">
      <c r="A251" s="50">
        <v>46080</v>
      </c>
      <c r="B251" s="51">
        <v>0.9441550925925926</v>
      </c>
      <c r="C251" t="s">
        <v>172</v>
      </c>
      <c r="D251" t="s">
        <v>195</v>
      </c>
      <c r="E251" t="s">
        <v>173</v>
      </c>
      <c r="F251" t="s">
        <v>265</v>
      </c>
      <c r="G251">
        <v>-285000</v>
      </c>
      <c r="H251" t="s">
        <v>170</v>
      </c>
      <c r="I251" t="s">
        <v>61</v>
      </c>
    </row>
    <row r="252" spans="1:9">
      <c r="A252" s="50">
        <v>46080</v>
      </c>
      <c r="B252" s="51">
        <v>0.3500694444444444</v>
      </c>
      <c r="C252" t="s">
        <v>167</v>
      </c>
      <c r="D252" t="s">
        <v>34</v>
      </c>
      <c r="E252" t="s">
        <v>342</v>
      </c>
      <c r="F252" t="s">
        <v>343</v>
      </c>
      <c r="G252">
        <v>-550000</v>
      </c>
      <c r="H252" t="s">
        <v>170</v>
      </c>
      <c r="I252" t="s">
        <v>61</v>
      </c>
    </row>
    <row r="253" spans="1:9">
      <c r="A253" s="50">
        <v>46080</v>
      </c>
      <c r="B253" s="51">
        <v>0.3113194444444444</v>
      </c>
      <c r="C253" t="s">
        <v>167</v>
      </c>
      <c r="D253" t="s">
        <v>35</v>
      </c>
      <c r="E253" t="s">
        <v>197</v>
      </c>
      <c r="F253" t="s">
        <v>198</v>
      </c>
      <c r="G253">
        <v>-12000</v>
      </c>
      <c r="H253" t="s">
        <v>170</v>
      </c>
      <c r="I253" t="s">
        <v>199</v>
      </c>
    </row>
    <row r="254" spans="1:9">
      <c r="A254" s="50">
        <v>46080</v>
      </c>
      <c r="B254" s="51">
        <v>0.244837962962963</v>
      </c>
      <c r="C254" t="s">
        <v>167</v>
      </c>
      <c r="D254" t="s">
        <v>33</v>
      </c>
      <c r="E254" t="s">
        <v>282</v>
      </c>
      <c r="F254" t="s">
        <v>287</v>
      </c>
      <c r="G254">
        <v>-57450</v>
      </c>
      <c r="H254" t="s">
        <v>170</v>
      </c>
      <c r="I254" t="s">
        <v>243</v>
      </c>
    </row>
    <row r="255" spans="1:9">
      <c r="A255" s="50">
        <v>46079</v>
      </c>
      <c r="B255" s="51">
        <v>0.8881018518518519</v>
      </c>
      <c r="C255" t="s">
        <v>167</v>
      </c>
      <c r="D255" t="s">
        <v>46</v>
      </c>
      <c r="E255" t="s">
        <v>168</v>
      </c>
      <c r="F255" t="s">
        <v>279</v>
      </c>
      <c r="G255">
        <v>-84700</v>
      </c>
      <c r="H255" t="s">
        <v>170</v>
      </c>
      <c r="I255" t="s">
        <v>237</v>
      </c>
    </row>
    <row r="256" spans="1:9">
      <c r="A256" s="50">
        <v>46079</v>
      </c>
      <c r="B256" s="51">
        <v>0.8695138888888889</v>
      </c>
      <c r="C256" t="s">
        <v>167</v>
      </c>
      <c r="D256" t="s">
        <v>42</v>
      </c>
      <c r="E256" t="s">
        <v>235</v>
      </c>
      <c r="F256" t="s">
        <v>344</v>
      </c>
      <c r="G256">
        <v>-11350</v>
      </c>
      <c r="H256" t="s">
        <v>170</v>
      </c>
      <c r="I256" t="s">
        <v>237</v>
      </c>
    </row>
    <row r="257" spans="1:9">
      <c r="A257" s="50">
        <v>46079</v>
      </c>
      <c r="B257" s="51">
        <v>0.6000694444444444</v>
      </c>
      <c r="C257" t="s">
        <v>167</v>
      </c>
      <c r="D257" t="s">
        <v>43</v>
      </c>
      <c r="E257" t="s">
        <v>203</v>
      </c>
      <c r="F257" t="s">
        <v>345</v>
      </c>
      <c r="G257">
        <v>-4400</v>
      </c>
      <c r="H257" t="s">
        <v>170</v>
      </c>
      <c r="I257" t="s">
        <v>171</v>
      </c>
    </row>
    <row r="258" spans="1:9">
      <c r="A258" s="50">
        <v>46079</v>
      </c>
      <c r="B258" s="51">
        <v>0.5982175925925926</v>
      </c>
      <c r="C258" t="s">
        <v>167</v>
      </c>
      <c r="D258" t="s">
        <v>43</v>
      </c>
      <c r="E258" t="s">
        <v>346</v>
      </c>
      <c r="F258" t="s">
        <v>347</v>
      </c>
      <c r="G258">
        <v>-5600</v>
      </c>
      <c r="H258" t="s">
        <v>170</v>
      </c>
      <c r="I258" t="s">
        <v>171</v>
      </c>
    </row>
    <row r="259" spans="1:9">
      <c r="A259" s="50">
        <v>46078</v>
      </c>
      <c r="B259" s="51">
        <v>0.5287500000000001</v>
      </c>
      <c r="C259" t="s">
        <v>167</v>
      </c>
      <c r="D259" t="s">
        <v>40</v>
      </c>
      <c r="E259" t="s">
        <v>176</v>
      </c>
      <c r="F259" t="s">
        <v>348</v>
      </c>
      <c r="G259">
        <v>-14900</v>
      </c>
      <c r="H259" t="s">
        <v>170</v>
      </c>
      <c r="I259" t="s">
        <v>171</v>
      </c>
    </row>
    <row r="260" spans="1:9">
      <c r="A260" s="50">
        <v>46078</v>
      </c>
      <c r="B260" s="51">
        <v>0.4357060185185185</v>
      </c>
      <c r="C260" t="s">
        <v>172</v>
      </c>
      <c r="D260" t="s">
        <v>195</v>
      </c>
      <c r="E260" t="s">
        <v>173</v>
      </c>
      <c r="F260" t="s">
        <v>7</v>
      </c>
      <c r="G260">
        <v>2960000</v>
      </c>
      <c r="H260" t="s">
        <v>170</v>
      </c>
      <c r="I260" t="s">
        <v>61</v>
      </c>
    </row>
    <row r="261" spans="1:9">
      <c r="A261" s="50">
        <v>46078</v>
      </c>
      <c r="B261" s="51">
        <v>0.4356944444444444</v>
      </c>
      <c r="C261" t="s">
        <v>172</v>
      </c>
      <c r="D261" t="s">
        <v>195</v>
      </c>
      <c r="E261" t="s">
        <v>173</v>
      </c>
      <c r="F261" t="s">
        <v>7</v>
      </c>
      <c r="G261">
        <v>-2960000</v>
      </c>
      <c r="H261" t="s">
        <v>170</v>
      </c>
      <c r="I261" t="s">
        <v>59</v>
      </c>
    </row>
    <row r="262" spans="1:9">
      <c r="A262" s="50">
        <v>46078</v>
      </c>
      <c r="B262" s="51">
        <v>0.4313888888888889</v>
      </c>
      <c r="C262" t="s">
        <v>233</v>
      </c>
      <c r="D262" t="s">
        <v>29</v>
      </c>
      <c r="E262" t="s">
        <v>173</v>
      </c>
      <c r="F262" t="s">
        <v>286</v>
      </c>
      <c r="G262">
        <v>3600590</v>
      </c>
      <c r="H262" t="s">
        <v>170</v>
      </c>
      <c r="I262" t="s">
        <v>59</v>
      </c>
    </row>
    <row r="263" spans="1:9">
      <c r="A263" s="50">
        <v>46077</v>
      </c>
      <c r="B263" s="51">
        <v>0.526875</v>
      </c>
      <c r="C263" t="s">
        <v>167</v>
      </c>
      <c r="D263" t="s">
        <v>40</v>
      </c>
      <c r="E263" t="s">
        <v>176</v>
      </c>
      <c r="F263" t="s">
        <v>205</v>
      </c>
      <c r="G263">
        <v>-9000</v>
      </c>
      <c r="H263" t="s">
        <v>170</v>
      </c>
      <c r="I263" t="s">
        <v>171</v>
      </c>
    </row>
    <row r="264" spans="1:9">
      <c r="A264" s="50">
        <v>46076</v>
      </c>
      <c r="B264" s="51">
        <v>0.9440046296296296</v>
      </c>
      <c r="C264" t="s">
        <v>167</v>
      </c>
      <c r="D264" t="s">
        <v>42</v>
      </c>
      <c r="E264" t="s">
        <v>338</v>
      </c>
      <c r="F264" t="s">
        <v>339</v>
      </c>
      <c r="G264">
        <v>-14000</v>
      </c>
      <c r="H264" t="s">
        <v>170</v>
      </c>
      <c r="I264" t="s">
        <v>187</v>
      </c>
    </row>
    <row r="265" spans="1:9">
      <c r="A265" s="50">
        <v>46076</v>
      </c>
      <c r="B265" s="51">
        <v>0.5624189814814815</v>
      </c>
      <c r="C265" t="s">
        <v>172</v>
      </c>
      <c r="D265" t="s">
        <v>172</v>
      </c>
      <c r="E265" t="s">
        <v>173</v>
      </c>
      <c r="F265" t="s">
        <v>349</v>
      </c>
      <c r="G265">
        <v>15000</v>
      </c>
      <c r="H265" t="s">
        <v>170</v>
      </c>
      <c r="I265" t="s">
        <v>175</v>
      </c>
    </row>
    <row r="266" spans="1:9">
      <c r="A266" s="50">
        <v>46076</v>
      </c>
      <c r="B266" s="51">
        <v>0.5277083333333333</v>
      </c>
      <c r="C266" t="s">
        <v>167</v>
      </c>
      <c r="D266" t="s">
        <v>40</v>
      </c>
      <c r="E266" t="s">
        <v>244</v>
      </c>
      <c r="F266" t="s">
        <v>314</v>
      </c>
      <c r="G266">
        <v>-32300</v>
      </c>
      <c r="H266" t="s">
        <v>170</v>
      </c>
      <c r="I266" t="s">
        <v>171</v>
      </c>
    </row>
    <row r="267" spans="1:9">
      <c r="A267" s="50">
        <v>46075</v>
      </c>
      <c r="B267" s="51">
        <v>0.3408912037037037</v>
      </c>
      <c r="C267" t="s">
        <v>167</v>
      </c>
      <c r="D267" t="s">
        <v>46</v>
      </c>
      <c r="E267" t="s">
        <v>168</v>
      </c>
      <c r="F267" t="s">
        <v>305</v>
      </c>
      <c r="G267">
        <v>-10000</v>
      </c>
      <c r="H267" t="s">
        <v>170</v>
      </c>
      <c r="I267" t="s">
        <v>171</v>
      </c>
    </row>
    <row r="268" spans="1:9">
      <c r="A268" s="50">
        <v>46074</v>
      </c>
      <c r="B268" s="51">
        <v>0.7193981481481482</v>
      </c>
      <c r="C268" t="s">
        <v>167</v>
      </c>
      <c r="D268" t="s">
        <v>37</v>
      </c>
      <c r="E268" t="s">
        <v>350</v>
      </c>
      <c r="F268" t="s">
        <v>351</v>
      </c>
      <c r="G268">
        <v>-175000</v>
      </c>
      <c r="H268" t="s">
        <v>170</v>
      </c>
      <c r="I268" t="s">
        <v>171</v>
      </c>
    </row>
    <row r="269" spans="1:9">
      <c r="A269" s="50">
        <v>46074</v>
      </c>
      <c r="B269" s="51">
        <v>0.4370601851851852</v>
      </c>
      <c r="C269" t="s">
        <v>167</v>
      </c>
      <c r="D269" t="s">
        <v>42</v>
      </c>
      <c r="E269" t="s">
        <v>235</v>
      </c>
      <c r="F269" t="s">
        <v>247</v>
      </c>
      <c r="G269">
        <v>-14990</v>
      </c>
      <c r="H269" t="s">
        <v>170</v>
      </c>
      <c r="I269" t="s">
        <v>237</v>
      </c>
    </row>
    <row r="270" spans="1:9">
      <c r="A270" s="50">
        <v>46074</v>
      </c>
      <c r="B270" s="51">
        <v>0.3424421296296296</v>
      </c>
      <c r="C270" t="s">
        <v>167</v>
      </c>
      <c r="D270" t="s">
        <v>46</v>
      </c>
      <c r="E270" t="s">
        <v>168</v>
      </c>
      <c r="F270" t="s">
        <v>305</v>
      </c>
      <c r="G270">
        <v>-10000</v>
      </c>
      <c r="H270" t="s">
        <v>170</v>
      </c>
      <c r="I270" t="s">
        <v>171</v>
      </c>
    </row>
    <row r="271" spans="1:9">
      <c r="A271" s="50">
        <v>46074</v>
      </c>
      <c r="B271" s="51">
        <v>0.2448958333333333</v>
      </c>
      <c r="C271" t="s">
        <v>167</v>
      </c>
      <c r="D271" t="s">
        <v>33</v>
      </c>
      <c r="E271" t="s">
        <v>282</v>
      </c>
      <c r="F271" t="s">
        <v>287</v>
      </c>
      <c r="G271">
        <v>-4200</v>
      </c>
      <c r="H271" t="s">
        <v>170</v>
      </c>
      <c r="I271" t="s">
        <v>243</v>
      </c>
    </row>
    <row r="272" spans="1:9">
      <c r="A272" s="50">
        <v>46073</v>
      </c>
      <c r="B272" s="51">
        <v>0.9905902777777778</v>
      </c>
      <c r="C272" t="s">
        <v>167</v>
      </c>
      <c r="D272" t="s">
        <v>38</v>
      </c>
      <c r="E272" t="s">
        <v>181</v>
      </c>
      <c r="F272" t="s">
        <v>192</v>
      </c>
      <c r="G272">
        <v>-3700</v>
      </c>
      <c r="H272" t="s">
        <v>170</v>
      </c>
      <c r="I272" t="s">
        <v>171</v>
      </c>
    </row>
    <row r="273" spans="1:9">
      <c r="A273" s="50">
        <v>46073</v>
      </c>
      <c r="B273" s="51">
        <v>0.5817013888888889</v>
      </c>
      <c r="C273" t="s">
        <v>167</v>
      </c>
      <c r="D273" t="s">
        <v>40</v>
      </c>
      <c r="E273" t="s">
        <v>261</v>
      </c>
      <c r="F273" t="s">
        <v>304</v>
      </c>
      <c r="G273">
        <v>-14600</v>
      </c>
      <c r="H273" t="s">
        <v>170</v>
      </c>
      <c r="I273" t="s">
        <v>253</v>
      </c>
    </row>
    <row r="274" spans="1:9">
      <c r="A274" s="50">
        <v>46073</v>
      </c>
      <c r="B274" s="51">
        <v>0.5816666666666667</v>
      </c>
      <c r="C274" t="s">
        <v>172</v>
      </c>
      <c r="D274" t="s">
        <v>172</v>
      </c>
      <c r="E274" t="s">
        <v>173</v>
      </c>
      <c r="F274" t="s">
        <v>265</v>
      </c>
      <c r="G274">
        <v>-14600</v>
      </c>
      <c r="H274" t="s">
        <v>170</v>
      </c>
      <c r="I274" t="s">
        <v>61</v>
      </c>
    </row>
    <row r="275" spans="1:9">
      <c r="A275" s="50">
        <v>46073</v>
      </c>
      <c r="B275" s="51">
        <v>0.3125462962962963</v>
      </c>
      <c r="C275" t="s">
        <v>172</v>
      </c>
      <c r="D275" t="s">
        <v>172</v>
      </c>
      <c r="E275" t="s">
        <v>173</v>
      </c>
      <c r="F275" t="s">
        <v>264</v>
      </c>
      <c r="G275">
        <v>-300000</v>
      </c>
      <c r="H275" t="s">
        <v>170</v>
      </c>
      <c r="I275" t="s">
        <v>175</v>
      </c>
    </row>
    <row r="276" spans="1:9">
      <c r="A276" s="50">
        <v>46073</v>
      </c>
      <c r="B276" s="51">
        <v>0.2992939814814815</v>
      </c>
      <c r="C276" t="s">
        <v>172</v>
      </c>
      <c r="D276" t="s">
        <v>172</v>
      </c>
      <c r="E276" t="s">
        <v>173</v>
      </c>
      <c r="F276" t="s">
        <v>352</v>
      </c>
      <c r="G276">
        <v>300000</v>
      </c>
      <c r="H276" t="s">
        <v>170</v>
      </c>
      <c r="I276" t="s">
        <v>175</v>
      </c>
    </row>
    <row r="277" spans="1:9">
      <c r="A277" s="50">
        <v>46072</v>
      </c>
      <c r="B277" s="51">
        <v>0.5599768518518519</v>
      </c>
      <c r="C277" t="s">
        <v>167</v>
      </c>
      <c r="D277" t="s">
        <v>45</v>
      </c>
      <c r="E277" t="s">
        <v>185</v>
      </c>
      <c r="F277" t="s">
        <v>186</v>
      </c>
      <c r="G277">
        <v>-42900</v>
      </c>
      <c r="H277" t="s">
        <v>170</v>
      </c>
      <c r="I277" t="s">
        <v>187</v>
      </c>
    </row>
    <row r="278" spans="1:9">
      <c r="A278" s="50">
        <v>46072</v>
      </c>
      <c r="B278" s="51">
        <v>0.5481134259259259</v>
      </c>
      <c r="C278" t="s">
        <v>167</v>
      </c>
      <c r="D278" t="s">
        <v>46</v>
      </c>
      <c r="E278" t="s">
        <v>168</v>
      </c>
      <c r="F278" t="s">
        <v>305</v>
      </c>
      <c r="G278">
        <v>-3000</v>
      </c>
      <c r="H278" t="s">
        <v>170</v>
      </c>
      <c r="I278" t="s">
        <v>171</v>
      </c>
    </row>
    <row r="279" spans="1:9">
      <c r="A279" s="50">
        <v>46072</v>
      </c>
      <c r="B279" s="51">
        <v>0.4419212962962963</v>
      </c>
      <c r="C279" t="s">
        <v>167</v>
      </c>
      <c r="D279" t="s">
        <v>42</v>
      </c>
      <c r="E279" t="s">
        <v>235</v>
      </c>
      <c r="F279" t="s">
        <v>353</v>
      </c>
      <c r="G279">
        <v>-125280</v>
      </c>
      <c r="H279" t="s">
        <v>170</v>
      </c>
      <c r="I279" t="s">
        <v>187</v>
      </c>
    </row>
    <row r="280" spans="1:9">
      <c r="A280" s="50">
        <v>46072</v>
      </c>
      <c r="B280" s="51">
        <v>0.1346527777777778</v>
      </c>
      <c r="C280" t="s">
        <v>172</v>
      </c>
      <c r="D280" t="s">
        <v>200</v>
      </c>
      <c r="E280" t="s">
        <v>173</v>
      </c>
      <c r="F280" t="s">
        <v>201</v>
      </c>
      <c r="G280">
        <v>-406691</v>
      </c>
      <c r="H280" t="s">
        <v>170</v>
      </c>
      <c r="I280" t="s">
        <v>61</v>
      </c>
    </row>
    <row r="281" spans="1:9">
      <c r="A281" s="50">
        <v>46072</v>
      </c>
      <c r="B281" s="51">
        <v>0</v>
      </c>
      <c r="C281" t="s">
        <v>167</v>
      </c>
      <c r="D281" t="s">
        <v>42</v>
      </c>
      <c r="E281" t="s">
        <v>188</v>
      </c>
      <c r="F281" t="s">
        <v>354</v>
      </c>
      <c r="G281">
        <v>4887</v>
      </c>
      <c r="H281" t="s">
        <v>170</v>
      </c>
      <c r="I281" t="s">
        <v>187</v>
      </c>
    </row>
    <row r="282" spans="1:9">
      <c r="A282" s="50">
        <v>46071</v>
      </c>
      <c r="B282" s="51">
        <v>0.9847337962962963</v>
      </c>
      <c r="C282" t="s">
        <v>167</v>
      </c>
      <c r="D282" t="s">
        <v>42</v>
      </c>
      <c r="E282" t="s">
        <v>338</v>
      </c>
      <c r="F282" t="s">
        <v>339</v>
      </c>
      <c r="G282">
        <v>-33000</v>
      </c>
      <c r="H282" t="s">
        <v>170</v>
      </c>
      <c r="I282" t="s">
        <v>187</v>
      </c>
    </row>
    <row r="283" spans="1:9">
      <c r="A283" s="50">
        <v>46071</v>
      </c>
      <c r="B283" s="51">
        <v>0.9845717592592592</v>
      </c>
      <c r="C283" t="s">
        <v>167</v>
      </c>
      <c r="D283" t="s">
        <v>42</v>
      </c>
      <c r="E283" t="s">
        <v>338</v>
      </c>
      <c r="F283" t="s">
        <v>339</v>
      </c>
      <c r="G283">
        <v>-33000</v>
      </c>
      <c r="H283" t="s">
        <v>170</v>
      </c>
      <c r="I283" t="s">
        <v>187</v>
      </c>
    </row>
    <row r="284" spans="1:9">
      <c r="A284" s="50">
        <v>46071</v>
      </c>
      <c r="B284" s="51">
        <v>0.9764351851851852</v>
      </c>
      <c r="C284" t="s">
        <v>167</v>
      </c>
      <c r="D284" t="s">
        <v>42</v>
      </c>
      <c r="E284" t="s">
        <v>338</v>
      </c>
      <c r="F284" t="s">
        <v>339</v>
      </c>
      <c r="G284">
        <v>-25000</v>
      </c>
      <c r="H284" t="s">
        <v>170</v>
      </c>
      <c r="I284" t="s">
        <v>187</v>
      </c>
    </row>
    <row r="285" spans="1:9">
      <c r="A285" s="50">
        <v>46070</v>
      </c>
      <c r="B285" s="51">
        <v>0.8342013888888888</v>
      </c>
      <c r="C285" t="s">
        <v>167</v>
      </c>
      <c r="D285" t="s">
        <v>38</v>
      </c>
      <c r="E285" t="s">
        <v>181</v>
      </c>
      <c r="F285" t="s">
        <v>355</v>
      </c>
      <c r="G285">
        <v>-17450</v>
      </c>
      <c r="H285" t="s">
        <v>170</v>
      </c>
      <c r="I285" t="s">
        <v>171</v>
      </c>
    </row>
    <row r="286" spans="1:9">
      <c r="A286" s="50">
        <v>46070</v>
      </c>
      <c r="B286" s="51">
        <v>0.4161111111111111</v>
      </c>
      <c r="C286" t="s">
        <v>167</v>
      </c>
      <c r="D286" t="s">
        <v>46</v>
      </c>
      <c r="E286" t="s">
        <v>168</v>
      </c>
      <c r="F286" t="s">
        <v>305</v>
      </c>
      <c r="G286">
        <v>-22000</v>
      </c>
      <c r="H286" t="s">
        <v>170</v>
      </c>
      <c r="I286" t="s">
        <v>171</v>
      </c>
    </row>
    <row r="287" spans="1:9">
      <c r="A287" s="50">
        <v>46069</v>
      </c>
      <c r="B287" s="51">
        <v>0.9785648148148148</v>
      </c>
      <c r="C287" t="s">
        <v>167</v>
      </c>
      <c r="D287" t="s">
        <v>40</v>
      </c>
      <c r="E287" t="s">
        <v>356</v>
      </c>
      <c r="F287" t="s">
        <v>357</v>
      </c>
      <c r="G287">
        <v>-8000</v>
      </c>
      <c r="H287" t="s">
        <v>170</v>
      </c>
      <c r="I287" t="s">
        <v>171</v>
      </c>
    </row>
    <row r="288" spans="1:9">
      <c r="A288" s="50">
        <v>46069</v>
      </c>
      <c r="B288" s="51">
        <v>0.967662037037037</v>
      </c>
      <c r="C288" t="s">
        <v>167</v>
      </c>
      <c r="D288" t="s">
        <v>40</v>
      </c>
      <c r="E288" t="s">
        <v>356</v>
      </c>
      <c r="F288" t="s">
        <v>357</v>
      </c>
      <c r="G288">
        <v>-14000</v>
      </c>
      <c r="H288" t="s">
        <v>170</v>
      </c>
      <c r="I288" t="s">
        <v>171</v>
      </c>
    </row>
    <row r="289" spans="1:9">
      <c r="A289" s="50">
        <v>46069</v>
      </c>
      <c r="B289" s="51">
        <v>0.9662384259259259</v>
      </c>
      <c r="C289" t="s">
        <v>167</v>
      </c>
      <c r="D289" t="s">
        <v>40</v>
      </c>
      <c r="E289" t="s">
        <v>356</v>
      </c>
      <c r="F289" t="s">
        <v>357</v>
      </c>
      <c r="G289">
        <v>-8000</v>
      </c>
      <c r="H289" t="s">
        <v>170</v>
      </c>
      <c r="I289" t="s">
        <v>171</v>
      </c>
    </row>
    <row r="290" spans="1:9">
      <c r="A290" s="50">
        <v>46069</v>
      </c>
      <c r="B290" s="51">
        <v>0.9660416666666667</v>
      </c>
      <c r="C290" t="s">
        <v>167</v>
      </c>
      <c r="D290" t="s">
        <v>40</v>
      </c>
      <c r="E290" t="s">
        <v>356</v>
      </c>
      <c r="F290" t="s">
        <v>357</v>
      </c>
      <c r="G290">
        <v>-22000</v>
      </c>
      <c r="H290" t="s">
        <v>170</v>
      </c>
      <c r="I290" t="s">
        <v>171</v>
      </c>
    </row>
    <row r="291" spans="1:9">
      <c r="A291" s="50">
        <v>46069</v>
      </c>
      <c r="B291" s="51">
        <v>0.9621412037037037</v>
      </c>
      <c r="C291" t="s">
        <v>167</v>
      </c>
      <c r="D291" t="s">
        <v>39</v>
      </c>
      <c r="E291" t="s">
        <v>358</v>
      </c>
      <c r="F291" t="s">
        <v>359</v>
      </c>
      <c r="G291">
        <v>-86500</v>
      </c>
      <c r="H291" t="s">
        <v>170</v>
      </c>
      <c r="I291" t="s">
        <v>171</v>
      </c>
    </row>
    <row r="292" spans="1:9">
      <c r="A292" s="50">
        <v>46069</v>
      </c>
      <c r="B292" s="51">
        <v>0.6034375</v>
      </c>
      <c r="C292" t="s">
        <v>167</v>
      </c>
      <c r="D292" t="s">
        <v>46</v>
      </c>
      <c r="E292" t="s">
        <v>168</v>
      </c>
      <c r="F292" t="s">
        <v>305</v>
      </c>
      <c r="G292">
        <v>-8000</v>
      </c>
      <c r="H292" t="s">
        <v>170</v>
      </c>
      <c r="I292" t="s">
        <v>171</v>
      </c>
    </row>
    <row r="293" spans="1:9">
      <c r="A293" s="50">
        <v>46069</v>
      </c>
      <c r="B293" s="51">
        <v>0.4321875</v>
      </c>
      <c r="C293" t="s">
        <v>167</v>
      </c>
      <c r="D293" t="s">
        <v>42</v>
      </c>
      <c r="E293" t="s">
        <v>338</v>
      </c>
      <c r="F293" t="s">
        <v>339</v>
      </c>
      <c r="G293">
        <v>-8800</v>
      </c>
      <c r="H293" t="s">
        <v>170</v>
      </c>
      <c r="I293" t="s">
        <v>187</v>
      </c>
    </row>
    <row r="294" spans="1:9">
      <c r="A294" s="50">
        <v>46068</v>
      </c>
      <c r="B294" s="51">
        <v>0.7633912037037037</v>
      </c>
      <c r="C294" t="s">
        <v>167</v>
      </c>
      <c r="D294" t="s">
        <v>35</v>
      </c>
      <c r="E294" t="s">
        <v>360</v>
      </c>
      <c r="F294" t="s">
        <v>361</v>
      </c>
      <c r="G294">
        <v>-5000</v>
      </c>
      <c r="H294" t="s">
        <v>170</v>
      </c>
      <c r="I294" t="s">
        <v>171</v>
      </c>
    </row>
    <row r="295" spans="1:9">
      <c r="A295" s="50">
        <v>46068</v>
      </c>
      <c r="B295" s="51">
        <v>0.7183796296296296</v>
      </c>
      <c r="C295" t="s">
        <v>167</v>
      </c>
      <c r="D295" t="s">
        <v>46</v>
      </c>
      <c r="E295" t="s">
        <v>168</v>
      </c>
      <c r="F295" t="s">
        <v>362</v>
      </c>
      <c r="G295">
        <v>-11500</v>
      </c>
      <c r="H295" t="s">
        <v>170</v>
      </c>
      <c r="I295" t="s">
        <v>171</v>
      </c>
    </row>
    <row r="296" spans="1:9">
      <c r="A296" s="50">
        <v>46068</v>
      </c>
      <c r="B296" s="51">
        <v>0.6280902777777778</v>
      </c>
      <c r="C296" t="s">
        <v>167</v>
      </c>
      <c r="D296" t="s">
        <v>47</v>
      </c>
      <c r="E296" t="s">
        <v>238</v>
      </c>
      <c r="F296" t="s">
        <v>363</v>
      </c>
      <c r="G296">
        <v>-112100</v>
      </c>
      <c r="H296" t="s">
        <v>170</v>
      </c>
      <c r="I296" t="s">
        <v>171</v>
      </c>
    </row>
    <row r="297" spans="1:9">
      <c r="A297" s="50">
        <v>46068</v>
      </c>
      <c r="B297" s="51">
        <v>0.6177893518518518</v>
      </c>
      <c r="C297" t="s">
        <v>167</v>
      </c>
      <c r="D297" t="s">
        <v>38</v>
      </c>
      <c r="E297" t="s">
        <v>259</v>
      </c>
      <c r="F297" t="s">
        <v>364</v>
      </c>
      <c r="G297">
        <v>-44910</v>
      </c>
      <c r="H297" t="s">
        <v>170</v>
      </c>
      <c r="I297" t="s">
        <v>171</v>
      </c>
    </row>
    <row r="298" spans="1:9">
      <c r="A298" s="50">
        <v>46068</v>
      </c>
      <c r="B298" s="51">
        <v>0.3442939814814815</v>
      </c>
      <c r="C298" t="s">
        <v>167</v>
      </c>
      <c r="D298" t="s">
        <v>46</v>
      </c>
      <c r="E298" t="s">
        <v>168</v>
      </c>
      <c r="F298" t="s">
        <v>305</v>
      </c>
      <c r="G298">
        <v>-12500</v>
      </c>
      <c r="H298" t="s">
        <v>170</v>
      </c>
      <c r="I298" t="s">
        <v>171</v>
      </c>
    </row>
    <row r="299" spans="1:9">
      <c r="A299" s="50">
        <v>46067</v>
      </c>
      <c r="B299" s="51">
        <v>0.5589930555555556</v>
      </c>
      <c r="C299" t="s">
        <v>167</v>
      </c>
      <c r="D299" t="s">
        <v>34</v>
      </c>
      <c r="E299" t="s">
        <v>208</v>
      </c>
      <c r="F299" t="s">
        <v>365</v>
      </c>
      <c r="G299">
        <v>-300</v>
      </c>
      <c r="H299" t="s">
        <v>170</v>
      </c>
      <c r="I299" t="s">
        <v>171</v>
      </c>
    </row>
    <row r="300" spans="1:9">
      <c r="A300" s="50">
        <v>46067</v>
      </c>
      <c r="B300" s="51">
        <v>0.4045949074074074</v>
      </c>
      <c r="C300" t="s">
        <v>167</v>
      </c>
      <c r="D300" t="s">
        <v>34</v>
      </c>
      <c r="E300" t="s">
        <v>206</v>
      </c>
      <c r="F300" t="s">
        <v>366</v>
      </c>
      <c r="G300">
        <v>-600</v>
      </c>
      <c r="H300" t="s">
        <v>170</v>
      </c>
      <c r="I300" t="s">
        <v>171</v>
      </c>
    </row>
    <row r="301" spans="1:9">
      <c r="A301" s="50">
        <v>46067</v>
      </c>
      <c r="B301" s="51">
        <v>0.3397337962962963</v>
      </c>
      <c r="C301" t="s">
        <v>167</v>
      </c>
      <c r="D301" t="s">
        <v>46</v>
      </c>
      <c r="E301" t="s">
        <v>168</v>
      </c>
      <c r="F301" t="s">
        <v>305</v>
      </c>
      <c r="G301">
        <v>-10500</v>
      </c>
      <c r="H301" t="s">
        <v>170</v>
      </c>
      <c r="I301" t="s">
        <v>171</v>
      </c>
    </row>
    <row r="302" spans="1:9">
      <c r="A302" s="50">
        <v>46066</v>
      </c>
      <c r="B302" s="51">
        <v>0.7989814814814815</v>
      </c>
      <c r="C302" t="s">
        <v>167</v>
      </c>
      <c r="D302" t="s">
        <v>38</v>
      </c>
      <c r="E302" t="s">
        <v>181</v>
      </c>
      <c r="F302" t="s">
        <v>192</v>
      </c>
      <c r="G302">
        <v>-2300</v>
      </c>
      <c r="H302" t="s">
        <v>170</v>
      </c>
      <c r="I302" t="s">
        <v>171</v>
      </c>
    </row>
    <row r="303" spans="1:9">
      <c r="A303" s="50">
        <v>46066</v>
      </c>
      <c r="B303" s="51">
        <v>0.6019328703703704</v>
      </c>
      <c r="C303" t="s">
        <v>167</v>
      </c>
      <c r="D303" t="s">
        <v>40</v>
      </c>
      <c r="E303" t="s">
        <v>269</v>
      </c>
      <c r="F303" t="s">
        <v>367</v>
      </c>
      <c r="G303">
        <v>-11500</v>
      </c>
      <c r="H303" t="s">
        <v>170</v>
      </c>
      <c r="I303" t="s">
        <v>171</v>
      </c>
    </row>
    <row r="304" spans="1:9">
      <c r="A304" s="50">
        <v>46066</v>
      </c>
      <c r="B304" s="51">
        <v>0.5123958333333334</v>
      </c>
      <c r="C304" t="s">
        <v>172</v>
      </c>
      <c r="D304" t="s">
        <v>195</v>
      </c>
      <c r="E304" t="s">
        <v>173</v>
      </c>
      <c r="F304" t="s">
        <v>264</v>
      </c>
      <c r="G304">
        <v>144000</v>
      </c>
      <c r="H304" t="s">
        <v>170</v>
      </c>
      <c r="I304" t="s">
        <v>175</v>
      </c>
    </row>
    <row r="305" spans="1:9">
      <c r="A305" s="50">
        <v>46066</v>
      </c>
      <c r="B305" s="51">
        <v>0.5123958333333334</v>
      </c>
      <c r="C305" t="s">
        <v>167</v>
      </c>
      <c r="D305" t="s">
        <v>42</v>
      </c>
      <c r="E305" t="s">
        <v>235</v>
      </c>
      <c r="F305" t="s">
        <v>368</v>
      </c>
      <c r="G305">
        <v>-145000</v>
      </c>
      <c r="H305" t="s">
        <v>170</v>
      </c>
      <c r="I305" t="s">
        <v>253</v>
      </c>
    </row>
    <row r="306" spans="1:9">
      <c r="A306" s="50">
        <v>46066</v>
      </c>
      <c r="B306" s="51">
        <v>0.5123958333333334</v>
      </c>
      <c r="C306" t="s">
        <v>172</v>
      </c>
      <c r="D306" t="s">
        <v>195</v>
      </c>
      <c r="E306" t="s">
        <v>173</v>
      </c>
      <c r="F306" t="s">
        <v>265</v>
      </c>
      <c r="G306">
        <v>-144000</v>
      </c>
      <c r="H306" t="s">
        <v>170</v>
      </c>
      <c r="I306" t="s">
        <v>61</v>
      </c>
    </row>
    <row r="307" spans="1:9">
      <c r="A307" s="50">
        <v>46065</v>
      </c>
      <c r="B307" s="51">
        <v>0.655775462962963</v>
      </c>
      <c r="C307" t="s">
        <v>172</v>
      </c>
      <c r="D307" t="s">
        <v>195</v>
      </c>
      <c r="E307" t="s">
        <v>173</v>
      </c>
      <c r="F307" t="s">
        <v>369</v>
      </c>
      <c r="G307">
        <v>-5000000</v>
      </c>
      <c r="H307" t="s">
        <v>170</v>
      </c>
      <c r="I307" t="s">
        <v>61</v>
      </c>
    </row>
    <row r="308" spans="1:9">
      <c r="A308" s="50">
        <v>46065</v>
      </c>
      <c r="B308" s="51">
        <v>0.5309143518518519</v>
      </c>
      <c r="C308" t="s">
        <v>167</v>
      </c>
      <c r="D308" t="s">
        <v>40</v>
      </c>
      <c r="E308" t="s">
        <v>193</v>
      </c>
      <c r="F308" t="s">
        <v>194</v>
      </c>
      <c r="G308">
        <v>-7500</v>
      </c>
      <c r="H308" t="s">
        <v>170</v>
      </c>
      <c r="I308" t="s">
        <v>171</v>
      </c>
    </row>
    <row r="309" spans="1:9">
      <c r="A309" s="50">
        <v>46065</v>
      </c>
      <c r="B309" s="51">
        <v>0.450925925925926</v>
      </c>
      <c r="C309" t="s">
        <v>172</v>
      </c>
      <c r="D309" t="s">
        <v>190</v>
      </c>
      <c r="E309" t="s">
        <v>173</v>
      </c>
      <c r="F309" t="s">
        <v>370</v>
      </c>
      <c r="G309">
        <v>400</v>
      </c>
      <c r="H309" t="s">
        <v>170</v>
      </c>
      <c r="I309" t="s">
        <v>62</v>
      </c>
    </row>
    <row r="310" spans="1:9">
      <c r="A310" s="50">
        <v>46064</v>
      </c>
      <c r="B310" s="51">
        <v>0.7988888888888889</v>
      </c>
      <c r="C310" t="s">
        <v>167</v>
      </c>
      <c r="D310" t="s">
        <v>40</v>
      </c>
      <c r="E310" t="s">
        <v>176</v>
      </c>
      <c r="F310" t="s">
        <v>371</v>
      </c>
      <c r="G310">
        <v>-11500</v>
      </c>
      <c r="H310" t="s">
        <v>170</v>
      </c>
      <c r="I310" t="s">
        <v>171</v>
      </c>
    </row>
    <row r="311" spans="1:9">
      <c r="A311" s="50">
        <v>46064</v>
      </c>
      <c r="B311" s="51">
        <v>0.7506712962962963</v>
      </c>
      <c r="C311" t="s">
        <v>172</v>
      </c>
      <c r="D311" t="s">
        <v>195</v>
      </c>
      <c r="E311" t="s">
        <v>173</v>
      </c>
      <c r="F311" t="s">
        <v>7</v>
      </c>
      <c r="G311">
        <v>700000</v>
      </c>
      <c r="H311" t="s">
        <v>170</v>
      </c>
      <c r="I311" t="s">
        <v>67</v>
      </c>
    </row>
    <row r="312" spans="1:9">
      <c r="A312" s="50">
        <v>46064</v>
      </c>
      <c r="B312" s="51">
        <v>0.7506712962962963</v>
      </c>
      <c r="C312" t="s">
        <v>172</v>
      </c>
      <c r="D312" t="s">
        <v>195</v>
      </c>
      <c r="E312" t="s">
        <v>173</v>
      </c>
      <c r="F312" t="s">
        <v>372</v>
      </c>
      <c r="G312">
        <v>-700000</v>
      </c>
      <c r="H312" t="s">
        <v>170</v>
      </c>
      <c r="I312" t="s">
        <v>59</v>
      </c>
    </row>
    <row r="313" spans="1:9">
      <c r="A313" s="50">
        <v>46064</v>
      </c>
      <c r="B313" s="51">
        <v>0.6802314814814815</v>
      </c>
      <c r="C313" t="s">
        <v>172</v>
      </c>
      <c r="D313" t="s">
        <v>195</v>
      </c>
      <c r="E313" t="s">
        <v>173</v>
      </c>
      <c r="F313" t="s">
        <v>369</v>
      </c>
      <c r="G313">
        <v>-5000000</v>
      </c>
      <c r="H313" t="s">
        <v>170</v>
      </c>
      <c r="I313" t="s">
        <v>61</v>
      </c>
    </row>
    <row r="314" spans="1:9">
      <c r="A314" s="50">
        <v>46064</v>
      </c>
      <c r="B314" s="51">
        <v>0.6767476851851851</v>
      </c>
      <c r="C314" t="s">
        <v>172</v>
      </c>
      <c r="D314" t="s">
        <v>190</v>
      </c>
      <c r="E314" t="s">
        <v>173</v>
      </c>
      <c r="F314" t="s">
        <v>373</v>
      </c>
      <c r="G314">
        <v>1</v>
      </c>
      <c r="H314" t="s">
        <v>170</v>
      </c>
      <c r="I314" t="s">
        <v>61</v>
      </c>
    </row>
    <row r="315" spans="1:9">
      <c r="A315" s="50">
        <v>46064</v>
      </c>
      <c r="B315" s="51">
        <v>0.6080208333333333</v>
      </c>
      <c r="C315" t="s">
        <v>172</v>
      </c>
      <c r="D315" t="s">
        <v>172</v>
      </c>
      <c r="E315" t="s">
        <v>173</v>
      </c>
      <c r="F315" t="s">
        <v>374</v>
      </c>
      <c r="G315">
        <v>5000000</v>
      </c>
      <c r="H315" t="s">
        <v>170</v>
      </c>
      <c r="I315" t="s">
        <v>61</v>
      </c>
    </row>
    <row r="316" spans="1:9">
      <c r="A316" s="50">
        <v>46064</v>
      </c>
      <c r="B316" s="51">
        <v>0.5580555555555555</v>
      </c>
      <c r="C316" t="s">
        <v>167</v>
      </c>
      <c r="D316" t="s">
        <v>46</v>
      </c>
      <c r="E316" t="s">
        <v>168</v>
      </c>
      <c r="F316" t="s">
        <v>375</v>
      </c>
      <c r="G316">
        <v>-23600</v>
      </c>
      <c r="H316" t="s">
        <v>170</v>
      </c>
      <c r="I316" t="s">
        <v>171</v>
      </c>
    </row>
    <row r="317" spans="1:9">
      <c r="A317" s="50">
        <v>46064</v>
      </c>
      <c r="B317" s="51">
        <v>0.5349537037037037</v>
      </c>
      <c r="C317" t="s">
        <v>167</v>
      </c>
      <c r="D317" t="s">
        <v>40</v>
      </c>
      <c r="E317" t="s">
        <v>176</v>
      </c>
      <c r="F317" t="s">
        <v>348</v>
      </c>
      <c r="G317">
        <v>-19400</v>
      </c>
      <c r="H317" t="s">
        <v>170</v>
      </c>
      <c r="I317" t="s">
        <v>171</v>
      </c>
    </row>
    <row r="318" spans="1:9">
      <c r="A318" s="50">
        <v>46064</v>
      </c>
      <c r="B318" s="51">
        <v>0.4891550925925926</v>
      </c>
      <c r="C318" t="s">
        <v>172</v>
      </c>
      <c r="D318" t="s">
        <v>195</v>
      </c>
      <c r="E318" t="s">
        <v>173</v>
      </c>
      <c r="F318" t="s">
        <v>7</v>
      </c>
      <c r="G318">
        <v>-35228</v>
      </c>
      <c r="H318" t="s">
        <v>170</v>
      </c>
      <c r="I318" t="s">
        <v>60</v>
      </c>
    </row>
    <row r="319" spans="1:9">
      <c r="A319" s="50">
        <v>46064</v>
      </c>
      <c r="B319" s="51">
        <v>0.443113425925926</v>
      </c>
      <c r="C319" t="s">
        <v>172</v>
      </c>
      <c r="D319" t="s">
        <v>248</v>
      </c>
      <c r="E319" t="s">
        <v>173</v>
      </c>
      <c r="F319" t="s">
        <v>376</v>
      </c>
      <c r="G319">
        <v>5000000</v>
      </c>
      <c r="H319" t="s">
        <v>170</v>
      </c>
      <c r="I319" t="s">
        <v>61</v>
      </c>
    </row>
    <row r="320" spans="1:9">
      <c r="A320" s="50">
        <v>46064</v>
      </c>
      <c r="B320" s="51">
        <v>0.1136458333333333</v>
      </c>
      <c r="C320" t="s">
        <v>167</v>
      </c>
      <c r="D320" t="s">
        <v>35</v>
      </c>
      <c r="E320" t="s">
        <v>360</v>
      </c>
      <c r="F320" t="s">
        <v>252</v>
      </c>
      <c r="G320">
        <v>-56700</v>
      </c>
      <c r="H320" t="s">
        <v>170</v>
      </c>
      <c r="I320" t="s">
        <v>253</v>
      </c>
    </row>
    <row r="321" spans="1:9">
      <c r="A321" s="50">
        <v>46063</v>
      </c>
      <c r="B321" s="51">
        <v>0.552349537037037</v>
      </c>
      <c r="C321" t="s">
        <v>167</v>
      </c>
      <c r="D321" t="s">
        <v>35</v>
      </c>
      <c r="E321" t="s">
        <v>225</v>
      </c>
      <c r="F321" t="s">
        <v>226</v>
      </c>
      <c r="G321">
        <v>-15900</v>
      </c>
      <c r="H321" t="s">
        <v>170</v>
      </c>
      <c r="I321" t="s">
        <v>171</v>
      </c>
    </row>
    <row r="322" spans="1:9">
      <c r="A322" s="50">
        <v>46062</v>
      </c>
      <c r="B322" s="51">
        <v>0.8320601851851852</v>
      </c>
      <c r="C322" t="s">
        <v>172</v>
      </c>
      <c r="D322" t="s">
        <v>172</v>
      </c>
      <c r="E322" t="s">
        <v>173</v>
      </c>
      <c r="F322" t="s">
        <v>377</v>
      </c>
      <c r="G322">
        <v>50700</v>
      </c>
      <c r="H322" t="s">
        <v>170</v>
      </c>
      <c r="I322" t="s">
        <v>175</v>
      </c>
    </row>
    <row r="323" spans="1:9">
      <c r="A323" s="50">
        <v>46062</v>
      </c>
      <c r="B323" s="51">
        <v>0.8305439814814815</v>
      </c>
      <c r="C323" t="s">
        <v>167</v>
      </c>
      <c r="D323" t="s">
        <v>35</v>
      </c>
      <c r="E323" t="s">
        <v>271</v>
      </c>
      <c r="F323" t="s">
        <v>378</v>
      </c>
      <c r="G323">
        <v>-2000</v>
      </c>
      <c r="H323" t="s">
        <v>170</v>
      </c>
      <c r="I323" t="s">
        <v>171</v>
      </c>
    </row>
    <row r="324" spans="1:9">
      <c r="A324" s="50">
        <v>46062</v>
      </c>
      <c r="B324" s="51">
        <v>0.8266087962962962</v>
      </c>
      <c r="C324" t="s">
        <v>167</v>
      </c>
      <c r="D324" t="s">
        <v>46</v>
      </c>
      <c r="E324" t="s">
        <v>168</v>
      </c>
      <c r="F324" t="s">
        <v>379</v>
      </c>
      <c r="G324">
        <v>-50700</v>
      </c>
      <c r="H324" t="s">
        <v>170</v>
      </c>
      <c r="I324" t="s">
        <v>171</v>
      </c>
    </row>
    <row r="325" spans="1:9">
      <c r="A325" s="50">
        <v>46062</v>
      </c>
      <c r="B325" s="51">
        <v>0.7253703703703703</v>
      </c>
      <c r="C325" t="s">
        <v>172</v>
      </c>
      <c r="D325" t="s">
        <v>195</v>
      </c>
      <c r="E325" t="s">
        <v>173</v>
      </c>
      <c r="F325" t="s">
        <v>265</v>
      </c>
      <c r="G325">
        <v>-10000</v>
      </c>
      <c r="H325" t="s">
        <v>170</v>
      </c>
      <c r="I325" t="s">
        <v>61</v>
      </c>
    </row>
    <row r="326" spans="1:9">
      <c r="A326" s="50">
        <v>46062</v>
      </c>
      <c r="B326" s="51">
        <v>0.7253587962962963</v>
      </c>
      <c r="C326" t="s">
        <v>172</v>
      </c>
      <c r="D326" t="s">
        <v>195</v>
      </c>
      <c r="E326" t="s">
        <v>173</v>
      </c>
      <c r="F326" t="s">
        <v>264</v>
      </c>
      <c r="G326">
        <v>10000</v>
      </c>
      <c r="H326" t="s">
        <v>170</v>
      </c>
      <c r="I326" t="s">
        <v>175</v>
      </c>
    </row>
    <row r="327" spans="1:9">
      <c r="A327" s="50">
        <v>46062</v>
      </c>
      <c r="B327" s="51">
        <v>0.7253587962962963</v>
      </c>
      <c r="C327" t="s">
        <v>167</v>
      </c>
      <c r="D327" t="s">
        <v>35</v>
      </c>
      <c r="E327" t="s">
        <v>360</v>
      </c>
      <c r="F327" t="s">
        <v>380</v>
      </c>
      <c r="G327">
        <v>-3000</v>
      </c>
      <c r="H327" t="s">
        <v>170</v>
      </c>
      <c r="I327" t="s">
        <v>253</v>
      </c>
    </row>
    <row r="328" spans="1:9">
      <c r="A328" s="50">
        <v>46062</v>
      </c>
      <c r="B328" s="51">
        <v>0.6998842592592592</v>
      </c>
      <c r="C328" t="s">
        <v>167</v>
      </c>
      <c r="D328" t="s">
        <v>43</v>
      </c>
      <c r="E328" t="s">
        <v>203</v>
      </c>
      <c r="F328" t="s">
        <v>381</v>
      </c>
      <c r="G328">
        <v>-63000</v>
      </c>
      <c r="H328" t="s">
        <v>170</v>
      </c>
      <c r="I328" t="s">
        <v>171</v>
      </c>
    </row>
    <row r="329" spans="1:9">
      <c r="A329" s="50">
        <v>46062</v>
      </c>
      <c r="B329" s="51">
        <v>0.6988194444444444</v>
      </c>
      <c r="C329" t="s">
        <v>167</v>
      </c>
      <c r="D329" t="s">
        <v>43</v>
      </c>
      <c r="E329" t="s">
        <v>332</v>
      </c>
      <c r="F329" t="s">
        <v>382</v>
      </c>
      <c r="G329">
        <v>-5000</v>
      </c>
      <c r="H329" t="s">
        <v>170</v>
      </c>
      <c r="I329" t="s">
        <v>171</v>
      </c>
    </row>
    <row r="330" spans="1:9">
      <c r="A330" s="50">
        <v>46062</v>
      </c>
      <c r="B330" s="51">
        <v>0.5304629629629629</v>
      </c>
      <c r="C330" t="s">
        <v>172</v>
      </c>
      <c r="D330" t="s">
        <v>172</v>
      </c>
      <c r="E330" t="s">
        <v>173</v>
      </c>
      <c r="F330" t="s">
        <v>265</v>
      </c>
      <c r="G330">
        <v>-11000</v>
      </c>
      <c r="H330" t="s">
        <v>170</v>
      </c>
      <c r="I330" t="s">
        <v>61</v>
      </c>
    </row>
    <row r="331" spans="1:9">
      <c r="A331" s="50">
        <v>46061</v>
      </c>
      <c r="B331" s="51">
        <v>0.5332407407407408</v>
      </c>
      <c r="C331" t="s">
        <v>167</v>
      </c>
      <c r="D331" t="s">
        <v>46</v>
      </c>
      <c r="E331" t="s">
        <v>168</v>
      </c>
      <c r="F331" t="s">
        <v>305</v>
      </c>
      <c r="G331">
        <v>-10000</v>
      </c>
      <c r="H331" t="s">
        <v>170</v>
      </c>
      <c r="I331" t="s">
        <v>171</v>
      </c>
    </row>
    <row r="332" spans="1:9">
      <c r="A332" s="50">
        <v>46060</v>
      </c>
      <c r="B332" s="51">
        <v>0.8687152777777778</v>
      </c>
      <c r="C332" t="s">
        <v>167</v>
      </c>
      <c r="D332" t="s">
        <v>42</v>
      </c>
      <c r="E332" t="s">
        <v>338</v>
      </c>
      <c r="F332" t="s">
        <v>339</v>
      </c>
      <c r="G332">
        <v>-25900</v>
      </c>
      <c r="H332" t="s">
        <v>170</v>
      </c>
      <c r="I332" t="s">
        <v>187</v>
      </c>
    </row>
    <row r="333" spans="1:9">
      <c r="A333" s="50">
        <v>46060</v>
      </c>
      <c r="B333" s="51">
        <v>0.6035763888888889</v>
      </c>
      <c r="C333" t="s">
        <v>167</v>
      </c>
      <c r="D333" t="s">
        <v>46</v>
      </c>
      <c r="E333" t="s">
        <v>168</v>
      </c>
      <c r="F333" t="s">
        <v>305</v>
      </c>
      <c r="G333">
        <v>-3000</v>
      </c>
      <c r="H333" t="s">
        <v>170</v>
      </c>
      <c r="I333" t="s">
        <v>171</v>
      </c>
    </row>
    <row r="334" spans="1:9">
      <c r="A334" s="50">
        <v>46060</v>
      </c>
      <c r="B334" s="51">
        <v>0.355462962962963</v>
      </c>
      <c r="C334" t="s">
        <v>167</v>
      </c>
      <c r="D334" t="s">
        <v>46</v>
      </c>
      <c r="E334" t="s">
        <v>168</v>
      </c>
      <c r="F334" t="s">
        <v>305</v>
      </c>
      <c r="G334">
        <v>-9000</v>
      </c>
      <c r="H334" t="s">
        <v>170</v>
      </c>
      <c r="I334" t="s">
        <v>171</v>
      </c>
    </row>
    <row r="335" spans="1:9">
      <c r="A335" s="50">
        <v>46059</v>
      </c>
      <c r="B335" s="51">
        <v>0.544537037037037</v>
      </c>
      <c r="C335" t="s">
        <v>167</v>
      </c>
      <c r="D335" t="s">
        <v>40</v>
      </c>
      <c r="E335" t="s">
        <v>383</v>
      </c>
      <c r="F335" t="s">
        <v>384</v>
      </c>
      <c r="G335">
        <v>-10000</v>
      </c>
      <c r="H335" t="s">
        <v>170</v>
      </c>
      <c r="I335" t="s">
        <v>171</v>
      </c>
    </row>
    <row r="336" spans="1:9">
      <c r="A336" s="50">
        <v>46059</v>
      </c>
      <c r="B336" s="51">
        <v>0</v>
      </c>
      <c r="C336" t="s">
        <v>167</v>
      </c>
      <c r="D336" t="s">
        <v>33</v>
      </c>
      <c r="E336" t="s">
        <v>385</v>
      </c>
      <c r="F336" t="s">
        <v>386</v>
      </c>
      <c r="G336">
        <v>53500</v>
      </c>
      <c r="H336" t="s">
        <v>170</v>
      </c>
      <c r="I336" t="s">
        <v>237</v>
      </c>
    </row>
    <row r="337" spans="1:9">
      <c r="A337" s="50">
        <v>46058</v>
      </c>
      <c r="B337" s="51">
        <v>0.8674884259259259</v>
      </c>
      <c r="C337" t="s">
        <v>167</v>
      </c>
      <c r="D337" t="s">
        <v>42</v>
      </c>
      <c r="E337" t="s">
        <v>188</v>
      </c>
      <c r="F337" t="s">
        <v>231</v>
      </c>
      <c r="G337">
        <v>-14900</v>
      </c>
      <c r="H337" t="s">
        <v>170</v>
      </c>
      <c r="I337" t="s">
        <v>187</v>
      </c>
    </row>
    <row r="338" spans="1:9">
      <c r="A338" s="50">
        <v>46058</v>
      </c>
      <c r="B338" s="51">
        <v>0.5467824074074074</v>
      </c>
      <c r="C338" t="s">
        <v>167</v>
      </c>
      <c r="D338" t="s">
        <v>40</v>
      </c>
      <c r="E338" t="s">
        <v>176</v>
      </c>
      <c r="F338" t="s">
        <v>387</v>
      </c>
      <c r="G338">
        <v>-19000</v>
      </c>
      <c r="H338" t="s">
        <v>170</v>
      </c>
      <c r="I338" t="s">
        <v>187</v>
      </c>
    </row>
    <row r="339" spans="1:9">
      <c r="A339" s="50">
        <v>46058</v>
      </c>
      <c r="B339" s="51">
        <v>0.5256712962962963</v>
      </c>
      <c r="C339" t="s">
        <v>167</v>
      </c>
      <c r="D339" t="s">
        <v>40</v>
      </c>
      <c r="E339" t="s">
        <v>176</v>
      </c>
      <c r="F339" t="s">
        <v>317</v>
      </c>
      <c r="G339">
        <v>-12000</v>
      </c>
      <c r="H339" t="s">
        <v>170</v>
      </c>
      <c r="I339" t="s">
        <v>171</v>
      </c>
    </row>
    <row r="340" spans="1:9">
      <c r="A340" s="50">
        <v>46057</v>
      </c>
      <c r="B340" s="51">
        <v>0.5271759259259259</v>
      </c>
      <c r="C340" t="s">
        <v>172</v>
      </c>
      <c r="D340" t="s">
        <v>172</v>
      </c>
      <c r="E340" t="s">
        <v>173</v>
      </c>
      <c r="F340" t="s">
        <v>265</v>
      </c>
      <c r="G340">
        <v>-15500</v>
      </c>
      <c r="H340" t="s">
        <v>170</v>
      </c>
      <c r="I340" t="s">
        <v>61</v>
      </c>
    </row>
    <row r="341" spans="1:9">
      <c r="A341" s="50">
        <v>46057</v>
      </c>
      <c r="B341" s="51">
        <v>0.2158449074074074</v>
      </c>
      <c r="C341" t="s">
        <v>167</v>
      </c>
      <c r="D341" t="s">
        <v>42</v>
      </c>
      <c r="E341" t="s">
        <v>235</v>
      </c>
      <c r="F341" t="s">
        <v>353</v>
      </c>
      <c r="G341">
        <v>-72750</v>
      </c>
      <c r="H341" t="s">
        <v>170</v>
      </c>
      <c r="I341" t="s">
        <v>187</v>
      </c>
    </row>
    <row r="342" spans="1:9">
      <c r="A342" s="50">
        <v>46057</v>
      </c>
      <c r="B342" s="51">
        <v>0.1009027777777778</v>
      </c>
      <c r="C342" t="s">
        <v>167</v>
      </c>
      <c r="D342" t="s">
        <v>42</v>
      </c>
      <c r="E342" t="s">
        <v>188</v>
      </c>
      <c r="F342" t="s">
        <v>252</v>
      </c>
      <c r="G342">
        <v>-13500</v>
      </c>
      <c r="H342" t="s">
        <v>170</v>
      </c>
      <c r="I342" t="s">
        <v>253</v>
      </c>
    </row>
    <row r="343" spans="1:9">
      <c r="A343" s="50">
        <v>46056</v>
      </c>
      <c r="B343" s="51">
        <v>0.5479282407407408</v>
      </c>
      <c r="C343" t="s">
        <v>167</v>
      </c>
      <c r="D343" t="s">
        <v>40</v>
      </c>
      <c r="E343" t="s">
        <v>176</v>
      </c>
      <c r="F343" t="s">
        <v>388</v>
      </c>
      <c r="G343">
        <v>-11000</v>
      </c>
      <c r="H343" t="s">
        <v>170</v>
      </c>
      <c r="I343" t="s">
        <v>171</v>
      </c>
    </row>
    <row r="344" spans="1:9">
      <c r="A344" s="50">
        <v>46056</v>
      </c>
      <c r="B344" s="51">
        <v>0.4267013888888889</v>
      </c>
      <c r="C344" t="s">
        <v>167</v>
      </c>
      <c r="D344" t="s">
        <v>42</v>
      </c>
      <c r="E344" t="s">
        <v>188</v>
      </c>
      <c r="F344" t="s">
        <v>256</v>
      </c>
      <c r="G344">
        <v>-2990</v>
      </c>
      <c r="H344" t="s">
        <v>170</v>
      </c>
      <c r="I344" t="s">
        <v>237</v>
      </c>
    </row>
    <row r="345" spans="1:9">
      <c r="A345" s="50">
        <v>46055</v>
      </c>
      <c r="B345" s="51">
        <v>0.8646875000000001</v>
      </c>
      <c r="C345" t="s">
        <v>167</v>
      </c>
      <c r="D345" t="s">
        <v>40</v>
      </c>
      <c r="E345" t="s">
        <v>176</v>
      </c>
      <c r="F345" t="s">
        <v>371</v>
      </c>
      <c r="G345">
        <v>-5000</v>
      </c>
      <c r="H345" t="s">
        <v>170</v>
      </c>
      <c r="I345" t="s">
        <v>171</v>
      </c>
    </row>
    <row r="346" spans="1:9">
      <c r="A346" s="50">
        <v>46055</v>
      </c>
      <c r="B346" s="51">
        <v>0.5265393518518519</v>
      </c>
      <c r="C346" t="s">
        <v>167</v>
      </c>
      <c r="D346" t="s">
        <v>40</v>
      </c>
      <c r="E346" t="s">
        <v>244</v>
      </c>
      <c r="F346" t="s">
        <v>314</v>
      </c>
      <c r="G346">
        <v>-17400</v>
      </c>
      <c r="H346" t="s">
        <v>170</v>
      </c>
      <c r="I346" t="s">
        <v>171</v>
      </c>
    </row>
    <row r="347" spans="1:9">
      <c r="A347" s="50">
        <v>46054</v>
      </c>
      <c r="B347" s="51">
        <v>0.7954629629629629</v>
      </c>
      <c r="C347" t="s">
        <v>167</v>
      </c>
      <c r="D347" t="s">
        <v>38</v>
      </c>
      <c r="E347" t="s">
        <v>259</v>
      </c>
      <c r="F347" t="s">
        <v>389</v>
      </c>
      <c r="G347">
        <v>-23960</v>
      </c>
      <c r="H347" t="s">
        <v>170</v>
      </c>
      <c r="I347" t="s">
        <v>171</v>
      </c>
    </row>
    <row r="348" spans="1:9">
      <c r="A348" s="50">
        <v>46054</v>
      </c>
      <c r="B348" s="51">
        <v>0.7525810185185186</v>
      </c>
      <c r="C348" t="s">
        <v>167</v>
      </c>
      <c r="D348" t="s">
        <v>40</v>
      </c>
      <c r="E348" t="s">
        <v>176</v>
      </c>
      <c r="F348" t="s">
        <v>390</v>
      </c>
      <c r="G348">
        <v>-39000</v>
      </c>
      <c r="H348" t="s">
        <v>170</v>
      </c>
      <c r="I348" t="s">
        <v>187</v>
      </c>
    </row>
    <row r="349" spans="1:9">
      <c r="A349" s="50">
        <v>46054</v>
      </c>
      <c r="B349" s="51">
        <v>0.3620601851851852</v>
      </c>
      <c r="C349" t="s">
        <v>172</v>
      </c>
      <c r="D349" t="s">
        <v>195</v>
      </c>
      <c r="E349" t="s">
        <v>173</v>
      </c>
      <c r="F349" t="s">
        <v>264</v>
      </c>
      <c r="G349">
        <v>16300</v>
      </c>
      <c r="H349" t="s">
        <v>170</v>
      </c>
      <c r="I349" t="s">
        <v>175</v>
      </c>
    </row>
    <row r="350" spans="1:9">
      <c r="A350" s="50">
        <v>46054</v>
      </c>
      <c r="B350" s="51">
        <v>0.3620601851851852</v>
      </c>
      <c r="C350" t="s">
        <v>172</v>
      </c>
      <c r="D350" t="s">
        <v>172</v>
      </c>
      <c r="E350" t="s">
        <v>173</v>
      </c>
      <c r="F350" t="s">
        <v>174</v>
      </c>
      <c r="G350">
        <v>-20000</v>
      </c>
      <c r="H350" t="s">
        <v>170</v>
      </c>
      <c r="I350" t="s">
        <v>175</v>
      </c>
    </row>
    <row r="351" spans="1:9">
      <c r="A351" s="50">
        <v>46054</v>
      </c>
      <c r="B351" s="51">
        <v>0.3620601851851852</v>
      </c>
      <c r="C351" t="s">
        <v>172</v>
      </c>
      <c r="D351" t="s">
        <v>195</v>
      </c>
      <c r="E351" t="s">
        <v>173</v>
      </c>
      <c r="F351" t="s">
        <v>265</v>
      </c>
      <c r="G351">
        <v>-16300</v>
      </c>
      <c r="H351" t="s">
        <v>170</v>
      </c>
      <c r="I351" t="s">
        <v>61</v>
      </c>
    </row>
    <row r="352" spans="1:9">
      <c r="A352" s="50">
        <v>46053</v>
      </c>
      <c r="B352" s="51">
        <v>0.7658217592592592</v>
      </c>
      <c r="C352" t="s">
        <v>167</v>
      </c>
      <c r="D352" t="s">
        <v>40</v>
      </c>
      <c r="E352" t="s">
        <v>383</v>
      </c>
      <c r="F352" t="s">
        <v>391</v>
      </c>
      <c r="G352">
        <v>-91000</v>
      </c>
      <c r="H352" t="s">
        <v>170</v>
      </c>
      <c r="I352" t="s">
        <v>187</v>
      </c>
    </row>
    <row r="353" spans="1:9">
      <c r="A353" s="50">
        <v>46053</v>
      </c>
      <c r="B353" s="51">
        <v>0.5599884259259259</v>
      </c>
      <c r="C353" t="s">
        <v>167</v>
      </c>
      <c r="D353" t="s">
        <v>46</v>
      </c>
      <c r="E353" t="s">
        <v>168</v>
      </c>
      <c r="F353" t="s">
        <v>305</v>
      </c>
      <c r="G353">
        <v>-6000</v>
      </c>
      <c r="H353" t="s">
        <v>170</v>
      </c>
      <c r="I353" t="s">
        <v>171</v>
      </c>
    </row>
    <row r="354" spans="1:9">
      <c r="A354" s="50">
        <v>46053</v>
      </c>
      <c r="B354" s="51">
        <v>0</v>
      </c>
      <c r="C354" t="s">
        <v>167</v>
      </c>
      <c r="D354" t="s">
        <v>34</v>
      </c>
      <c r="E354" t="s">
        <v>206</v>
      </c>
      <c r="F354" t="s">
        <v>392</v>
      </c>
      <c r="G354">
        <v>-200</v>
      </c>
      <c r="H354" t="s">
        <v>170</v>
      </c>
      <c r="I354" t="s">
        <v>187</v>
      </c>
    </row>
    <row r="355" spans="1:9">
      <c r="A355" s="50">
        <v>46053</v>
      </c>
      <c r="B355" s="51">
        <v>0</v>
      </c>
      <c r="C355" t="s">
        <v>167</v>
      </c>
      <c r="D355" t="s">
        <v>33</v>
      </c>
      <c r="E355" t="s">
        <v>282</v>
      </c>
      <c r="F355" t="s">
        <v>393</v>
      </c>
      <c r="G355">
        <v>-5700</v>
      </c>
      <c r="H355" t="s">
        <v>170</v>
      </c>
      <c r="I355" t="s">
        <v>187</v>
      </c>
    </row>
    <row r="356" spans="1:9">
      <c r="A356" s="50">
        <v>46052</v>
      </c>
      <c r="B356" s="51">
        <v>0.8061574074074074</v>
      </c>
      <c r="C356" t="s">
        <v>172</v>
      </c>
      <c r="D356" t="s">
        <v>195</v>
      </c>
      <c r="E356" t="s">
        <v>173</v>
      </c>
      <c r="F356" t="s">
        <v>265</v>
      </c>
      <c r="G356">
        <v>-10000</v>
      </c>
      <c r="H356" t="s">
        <v>170</v>
      </c>
      <c r="I356" t="s">
        <v>61</v>
      </c>
    </row>
    <row r="357" spans="1:9">
      <c r="A357" s="50">
        <v>46052</v>
      </c>
      <c r="B357" s="51">
        <v>0.8061458333333333</v>
      </c>
      <c r="C357" t="s">
        <v>172</v>
      </c>
      <c r="D357" t="s">
        <v>195</v>
      </c>
      <c r="E357" t="s">
        <v>173</v>
      </c>
      <c r="F357" t="s">
        <v>264</v>
      </c>
      <c r="G357">
        <v>10000</v>
      </c>
      <c r="H357" t="s">
        <v>170</v>
      </c>
      <c r="I357" t="s">
        <v>175</v>
      </c>
    </row>
    <row r="358" spans="1:9">
      <c r="A358" s="50">
        <v>46052</v>
      </c>
      <c r="B358" s="51">
        <v>0.8061458333333333</v>
      </c>
      <c r="C358" t="s">
        <v>167</v>
      </c>
      <c r="D358" t="s">
        <v>35</v>
      </c>
      <c r="E358" t="s">
        <v>360</v>
      </c>
      <c r="F358" t="s">
        <v>252</v>
      </c>
      <c r="G358">
        <v>-6300</v>
      </c>
      <c r="H358" t="s">
        <v>170</v>
      </c>
      <c r="I358" t="s">
        <v>253</v>
      </c>
    </row>
    <row r="359" spans="1:9">
      <c r="A359" s="50">
        <v>46052</v>
      </c>
      <c r="B359" s="51">
        <v>0.615474537037037</v>
      </c>
      <c r="C359" t="s">
        <v>167</v>
      </c>
      <c r="D359" t="s">
        <v>33</v>
      </c>
      <c r="E359" t="s">
        <v>385</v>
      </c>
      <c r="F359" t="s">
        <v>386</v>
      </c>
      <c r="G359">
        <v>-53500</v>
      </c>
      <c r="H359" t="s">
        <v>170</v>
      </c>
      <c r="I359" t="s">
        <v>237</v>
      </c>
    </row>
    <row r="360" spans="1:9">
      <c r="A360" s="50">
        <v>46052</v>
      </c>
      <c r="B360" s="51">
        <v>0.5769444444444445</v>
      </c>
      <c r="C360" t="s">
        <v>167</v>
      </c>
      <c r="D360" t="s">
        <v>40</v>
      </c>
      <c r="E360" t="s">
        <v>176</v>
      </c>
      <c r="F360" t="s">
        <v>394</v>
      </c>
      <c r="G360">
        <v>-28000</v>
      </c>
      <c r="H360" t="s">
        <v>170</v>
      </c>
      <c r="I360" t="s">
        <v>187</v>
      </c>
    </row>
    <row r="361" spans="1:9">
      <c r="A361" s="50">
        <v>46052</v>
      </c>
      <c r="B361" s="51">
        <v>0.2346875</v>
      </c>
      <c r="C361" t="s">
        <v>167</v>
      </c>
      <c r="D361" t="s">
        <v>33</v>
      </c>
      <c r="E361" t="s">
        <v>282</v>
      </c>
      <c r="F361" t="s">
        <v>287</v>
      </c>
      <c r="G361">
        <v>-58800</v>
      </c>
      <c r="H361" t="s">
        <v>170</v>
      </c>
      <c r="I361" t="s">
        <v>243</v>
      </c>
    </row>
    <row r="362" spans="1:9">
      <c r="A362" s="50">
        <v>46051</v>
      </c>
      <c r="B362" s="51">
        <v>0.551712962962963</v>
      </c>
      <c r="C362" t="s">
        <v>167</v>
      </c>
      <c r="D362" t="s">
        <v>46</v>
      </c>
      <c r="E362" t="s">
        <v>168</v>
      </c>
      <c r="F362" t="s">
        <v>395</v>
      </c>
      <c r="G362">
        <v>-8300</v>
      </c>
      <c r="H362" t="s">
        <v>170</v>
      </c>
      <c r="I362" t="s">
        <v>171</v>
      </c>
    </row>
    <row r="363" spans="1:9">
      <c r="A363" s="50">
        <v>46051</v>
      </c>
      <c r="B363" s="51">
        <v>0.5300347222222223</v>
      </c>
      <c r="C363" t="s">
        <v>172</v>
      </c>
      <c r="D363" t="s">
        <v>172</v>
      </c>
      <c r="E363" t="s">
        <v>173</v>
      </c>
      <c r="F363" t="s">
        <v>265</v>
      </c>
      <c r="G363">
        <v>-12000</v>
      </c>
      <c r="H363" t="s">
        <v>170</v>
      </c>
      <c r="I363" t="s">
        <v>61</v>
      </c>
    </row>
    <row r="364" spans="1:9">
      <c r="A364" s="50">
        <v>46051</v>
      </c>
      <c r="B364" s="51">
        <v>0.3874189814814815</v>
      </c>
      <c r="C364" t="s">
        <v>167</v>
      </c>
      <c r="D364" t="s">
        <v>42</v>
      </c>
      <c r="E364" t="s">
        <v>338</v>
      </c>
      <c r="F364" t="s">
        <v>339</v>
      </c>
      <c r="G364">
        <v>-16500</v>
      </c>
      <c r="H364" t="s">
        <v>170</v>
      </c>
      <c r="I364" t="s">
        <v>187</v>
      </c>
    </row>
    <row r="365" spans="1:9">
      <c r="A365" s="50">
        <v>46050</v>
      </c>
      <c r="B365" s="51">
        <v>0.5254861111111111</v>
      </c>
      <c r="C365" t="s">
        <v>167</v>
      </c>
      <c r="D365" t="s">
        <v>40</v>
      </c>
      <c r="E365" t="s">
        <v>176</v>
      </c>
      <c r="F365" t="s">
        <v>205</v>
      </c>
      <c r="G365">
        <v>-9000</v>
      </c>
      <c r="H365" t="s">
        <v>170</v>
      </c>
      <c r="I365" t="s">
        <v>171</v>
      </c>
    </row>
    <row r="366" spans="1:9">
      <c r="A366" s="50">
        <v>46049</v>
      </c>
      <c r="B366" s="51">
        <v>0.5259143518518519</v>
      </c>
      <c r="C366" t="s">
        <v>167</v>
      </c>
      <c r="D366" t="s">
        <v>40</v>
      </c>
      <c r="E366" t="s">
        <v>324</v>
      </c>
      <c r="F366" t="s">
        <v>325</v>
      </c>
      <c r="G366">
        <v>-9900</v>
      </c>
      <c r="H366" t="s">
        <v>170</v>
      </c>
      <c r="I366" t="s">
        <v>171</v>
      </c>
    </row>
    <row r="367" spans="1:9">
      <c r="A367" s="50">
        <v>46048</v>
      </c>
      <c r="B367" s="51">
        <v>0.5266782407407408</v>
      </c>
      <c r="C367" t="s">
        <v>167</v>
      </c>
      <c r="D367" t="s">
        <v>40</v>
      </c>
      <c r="E367" t="s">
        <v>244</v>
      </c>
      <c r="F367" t="s">
        <v>314</v>
      </c>
      <c r="G367">
        <v>-17400</v>
      </c>
      <c r="H367" t="s">
        <v>170</v>
      </c>
      <c r="I367" t="s">
        <v>171</v>
      </c>
    </row>
    <row r="368" spans="1:9">
      <c r="A368" s="50">
        <v>46047</v>
      </c>
      <c r="B368" s="51">
        <v>0.7815046296296296</v>
      </c>
      <c r="C368" t="s">
        <v>167</v>
      </c>
      <c r="D368" t="s">
        <v>46</v>
      </c>
      <c r="E368" t="s">
        <v>168</v>
      </c>
      <c r="F368" t="s">
        <v>396</v>
      </c>
      <c r="G368">
        <v>-9000</v>
      </c>
      <c r="H368" t="s">
        <v>170</v>
      </c>
      <c r="I368" t="s">
        <v>187</v>
      </c>
    </row>
    <row r="369" spans="1:9">
      <c r="A369" s="50">
        <v>46047</v>
      </c>
      <c r="B369" s="51">
        <v>0.780162037037037</v>
      </c>
      <c r="C369" t="s">
        <v>167</v>
      </c>
      <c r="D369" t="s">
        <v>46</v>
      </c>
      <c r="E369" t="s">
        <v>168</v>
      </c>
      <c r="F369" t="s">
        <v>305</v>
      </c>
      <c r="G369">
        <v>-3000</v>
      </c>
      <c r="H369" t="s">
        <v>170</v>
      </c>
      <c r="I369" t="s">
        <v>171</v>
      </c>
    </row>
    <row r="370" spans="1:9">
      <c r="A370" s="50">
        <v>46047</v>
      </c>
      <c r="B370" s="51">
        <v>0.7692708333333333</v>
      </c>
      <c r="C370" t="s">
        <v>167</v>
      </c>
      <c r="D370" t="s">
        <v>40</v>
      </c>
      <c r="E370" t="s">
        <v>176</v>
      </c>
      <c r="F370" t="s">
        <v>397</v>
      </c>
      <c r="G370">
        <v>-54000</v>
      </c>
      <c r="H370" t="s">
        <v>170</v>
      </c>
      <c r="I370" t="s">
        <v>187</v>
      </c>
    </row>
    <row r="371" spans="1:9">
      <c r="A371" s="50">
        <v>46047</v>
      </c>
      <c r="B371" s="51">
        <v>0.2354861111111111</v>
      </c>
      <c r="C371" t="s">
        <v>167</v>
      </c>
      <c r="D371" t="s">
        <v>33</v>
      </c>
      <c r="E371" t="s">
        <v>282</v>
      </c>
      <c r="F371" t="s">
        <v>287</v>
      </c>
      <c r="G371">
        <v>-15900</v>
      </c>
      <c r="H371" t="s">
        <v>170</v>
      </c>
      <c r="I371" t="s">
        <v>243</v>
      </c>
    </row>
    <row r="372" spans="1:9">
      <c r="A372" s="50">
        <v>46046</v>
      </c>
      <c r="B372" s="51">
        <v>0.8216666666666667</v>
      </c>
      <c r="C372" t="s">
        <v>167</v>
      </c>
      <c r="D372" t="s">
        <v>40</v>
      </c>
      <c r="E372" t="s">
        <v>383</v>
      </c>
      <c r="F372" t="s">
        <v>398</v>
      </c>
      <c r="G372">
        <v>-64000</v>
      </c>
      <c r="H372" t="s">
        <v>170</v>
      </c>
      <c r="I372" t="s">
        <v>171</v>
      </c>
    </row>
    <row r="373" spans="1:9">
      <c r="A373" s="50">
        <v>46046</v>
      </c>
      <c r="B373" s="51">
        <v>0.5404282407407407</v>
      </c>
      <c r="C373" t="s">
        <v>167</v>
      </c>
      <c r="D373" t="s">
        <v>46</v>
      </c>
      <c r="E373" t="s">
        <v>168</v>
      </c>
      <c r="F373" t="s">
        <v>305</v>
      </c>
      <c r="G373">
        <v>-6000</v>
      </c>
      <c r="H373" t="s">
        <v>170</v>
      </c>
      <c r="I373" t="s">
        <v>171</v>
      </c>
    </row>
    <row r="374" spans="1:9">
      <c r="A374" s="50">
        <v>46046</v>
      </c>
      <c r="B374" s="51">
        <v>0.5346759259259259</v>
      </c>
      <c r="C374" t="s">
        <v>167</v>
      </c>
      <c r="D374" t="s">
        <v>43</v>
      </c>
      <c r="E374" t="s">
        <v>399</v>
      </c>
      <c r="F374" t="s">
        <v>400</v>
      </c>
      <c r="G374">
        <v>-25200</v>
      </c>
      <c r="H374" t="s">
        <v>170</v>
      </c>
      <c r="I374" t="s">
        <v>171</v>
      </c>
    </row>
    <row r="375" spans="1:9">
      <c r="A375" s="50">
        <v>46046</v>
      </c>
      <c r="B375" s="51">
        <v>0.2421527777777778</v>
      </c>
      <c r="C375" t="s">
        <v>233</v>
      </c>
      <c r="D375" t="s">
        <v>28</v>
      </c>
      <c r="E375" t="s">
        <v>173</v>
      </c>
      <c r="F375" t="s">
        <v>278</v>
      </c>
      <c r="G375">
        <v>2</v>
      </c>
      <c r="H375" t="s">
        <v>170</v>
      </c>
      <c r="I375" t="s">
        <v>60</v>
      </c>
    </row>
    <row r="376" spans="1:9">
      <c r="A376" s="50">
        <v>46046</v>
      </c>
      <c r="B376" s="51">
        <v>0.03810185185185185</v>
      </c>
      <c r="C376" t="s">
        <v>167</v>
      </c>
      <c r="D376" t="s">
        <v>42</v>
      </c>
      <c r="E376" t="s">
        <v>338</v>
      </c>
      <c r="F376" t="s">
        <v>339</v>
      </c>
      <c r="G376">
        <v>-19000</v>
      </c>
      <c r="H376" t="s">
        <v>170</v>
      </c>
      <c r="I376" t="s">
        <v>187</v>
      </c>
    </row>
    <row r="377" spans="1:9">
      <c r="A377" s="50">
        <v>46045</v>
      </c>
      <c r="B377" s="51">
        <v>0.5778819444444444</v>
      </c>
      <c r="C377" t="s">
        <v>172</v>
      </c>
      <c r="D377" t="s">
        <v>195</v>
      </c>
      <c r="E377" t="s">
        <v>173</v>
      </c>
      <c r="F377" t="s">
        <v>7</v>
      </c>
      <c r="G377">
        <v>2400000</v>
      </c>
      <c r="H377" t="s">
        <v>170</v>
      </c>
      <c r="I377" t="s">
        <v>61</v>
      </c>
    </row>
    <row r="378" spans="1:9">
      <c r="A378" s="50">
        <v>46045</v>
      </c>
      <c r="B378" s="51">
        <v>0.5778703703703704</v>
      </c>
      <c r="C378" t="s">
        <v>172</v>
      </c>
      <c r="D378" t="s">
        <v>195</v>
      </c>
      <c r="E378" t="s">
        <v>173</v>
      </c>
      <c r="F378" t="s">
        <v>7</v>
      </c>
      <c r="G378">
        <v>-2400000</v>
      </c>
      <c r="H378" t="s">
        <v>170</v>
      </c>
      <c r="I378" t="s">
        <v>59</v>
      </c>
    </row>
    <row r="379" spans="1:9">
      <c r="A379" s="50">
        <v>46045</v>
      </c>
      <c r="B379" s="51">
        <v>0.5551041666666666</v>
      </c>
      <c r="C379" t="s">
        <v>233</v>
      </c>
      <c r="D379" t="s">
        <v>29</v>
      </c>
      <c r="E379" t="s">
        <v>173</v>
      </c>
      <c r="F379" t="s">
        <v>286</v>
      </c>
      <c r="G379">
        <v>3150230</v>
      </c>
      <c r="H379" t="s">
        <v>170</v>
      </c>
      <c r="I379" t="s">
        <v>59</v>
      </c>
    </row>
    <row r="380" spans="1:9">
      <c r="A380" s="50">
        <v>46045</v>
      </c>
      <c r="B380" s="51">
        <v>0.5268518518518519</v>
      </c>
      <c r="C380" t="s">
        <v>167</v>
      </c>
      <c r="D380" t="s">
        <v>40</v>
      </c>
      <c r="E380" t="s">
        <v>176</v>
      </c>
      <c r="F380" t="s">
        <v>317</v>
      </c>
      <c r="G380">
        <v>-12000</v>
      </c>
      <c r="H380" t="s">
        <v>170</v>
      </c>
      <c r="I380" t="s">
        <v>171</v>
      </c>
    </row>
    <row r="381" spans="1:9">
      <c r="A381" s="50">
        <v>46044</v>
      </c>
      <c r="B381" s="51">
        <v>0.8078125</v>
      </c>
      <c r="C381" t="s">
        <v>167</v>
      </c>
      <c r="D381" t="s">
        <v>40</v>
      </c>
      <c r="E381" t="s">
        <v>261</v>
      </c>
      <c r="F381" t="s">
        <v>304</v>
      </c>
      <c r="G381">
        <v>-14000</v>
      </c>
      <c r="H381" t="s">
        <v>170</v>
      </c>
      <c r="I381" t="s">
        <v>253</v>
      </c>
    </row>
    <row r="382" spans="1:9">
      <c r="A382" s="50">
        <v>46044</v>
      </c>
      <c r="B382" s="51">
        <v>0.8077893518518519</v>
      </c>
      <c r="C382" t="s">
        <v>172</v>
      </c>
      <c r="D382" t="s">
        <v>172</v>
      </c>
      <c r="E382" t="s">
        <v>173</v>
      </c>
      <c r="F382" t="s">
        <v>265</v>
      </c>
      <c r="G382">
        <v>-14000</v>
      </c>
      <c r="H382" t="s">
        <v>170</v>
      </c>
      <c r="I382" t="s">
        <v>61</v>
      </c>
    </row>
    <row r="383" spans="1:9">
      <c r="A383" s="50">
        <v>46044</v>
      </c>
      <c r="B383" s="51">
        <v>0.5973263888888889</v>
      </c>
      <c r="C383" t="s">
        <v>167</v>
      </c>
      <c r="D383" t="s">
        <v>35</v>
      </c>
      <c r="E383" t="s">
        <v>225</v>
      </c>
      <c r="F383" t="s">
        <v>226</v>
      </c>
      <c r="G383">
        <v>-3500</v>
      </c>
      <c r="H383" t="s">
        <v>170</v>
      </c>
      <c r="I383" t="s">
        <v>171</v>
      </c>
    </row>
    <row r="384" spans="1:9">
      <c r="A384" s="50">
        <v>46044</v>
      </c>
      <c r="B384" s="51">
        <v>0.528912037037037</v>
      </c>
      <c r="C384" t="s">
        <v>172</v>
      </c>
      <c r="D384" t="s">
        <v>172</v>
      </c>
      <c r="E384" t="s">
        <v>173</v>
      </c>
      <c r="F384" t="s">
        <v>265</v>
      </c>
      <c r="G384">
        <v>-13000</v>
      </c>
      <c r="H384" t="s">
        <v>170</v>
      </c>
      <c r="I384" t="s">
        <v>61</v>
      </c>
    </row>
    <row r="385" spans="1:9">
      <c r="A385" s="50">
        <v>46042</v>
      </c>
      <c r="B385" s="51">
        <v>0.9951504629629629</v>
      </c>
      <c r="C385" t="s">
        <v>167</v>
      </c>
      <c r="D385" t="s">
        <v>42</v>
      </c>
      <c r="E385" t="s">
        <v>235</v>
      </c>
      <c r="F385" t="s">
        <v>344</v>
      </c>
      <c r="G385">
        <v>-30900</v>
      </c>
      <c r="H385" t="s">
        <v>170</v>
      </c>
      <c r="I385" t="s">
        <v>237</v>
      </c>
    </row>
    <row r="386" spans="1:9">
      <c r="A386" s="50">
        <v>46042</v>
      </c>
      <c r="B386" s="51">
        <v>0.9903703703703703</v>
      </c>
      <c r="C386" t="s">
        <v>167</v>
      </c>
      <c r="D386" t="s">
        <v>42</v>
      </c>
      <c r="E386" t="s">
        <v>235</v>
      </c>
      <c r="F386" t="s">
        <v>401</v>
      </c>
      <c r="G386">
        <v>-11000</v>
      </c>
      <c r="H386" t="s">
        <v>170</v>
      </c>
      <c r="I386" t="s">
        <v>237</v>
      </c>
    </row>
    <row r="387" spans="1:9">
      <c r="A387" s="50">
        <v>46042</v>
      </c>
      <c r="B387" s="51">
        <v>0.9869097222222222</v>
      </c>
      <c r="C387" t="s">
        <v>167</v>
      </c>
      <c r="D387" t="s">
        <v>38</v>
      </c>
      <c r="E387" t="s">
        <v>223</v>
      </c>
      <c r="F387" t="s">
        <v>402</v>
      </c>
      <c r="G387">
        <v>-161400</v>
      </c>
      <c r="H387" t="s">
        <v>170</v>
      </c>
      <c r="I387" t="s">
        <v>237</v>
      </c>
    </row>
    <row r="388" spans="1:9">
      <c r="A388" s="50">
        <v>46042</v>
      </c>
      <c r="B388" s="51">
        <v>0.5288194444444444</v>
      </c>
      <c r="C388" t="s">
        <v>167</v>
      </c>
      <c r="D388" t="s">
        <v>40</v>
      </c>
      <c r="E388" t="s">
        <v>176</v>
      </c>
      <c r="F388" t="s">
        <v>317</v>
      </c>
      <c r="G388">
        <v>-12000</v>
      </c>
      <c r="H388" t="s">
        <v>170</v>
      </c>
      <c r="I388" t="s">
        <v>171</v>
      </c>
    </row>
    <row r="389" spans="1:9">
      <c r="A389" s="50">
        <v>46041</v>
      </c>
      <c r="B389" s="51">
        <v>0.7783217592592593</v>
      </c>
      <c r="C389" t="s">
        <v>167</v>
      </c>
      <c r="D389" t="s">
        <v>38</v>
      </c>
      <c r="E389" t="s">
        <v>181</v>
      </c>
      <c r="F389" t="s">
        <v>192</v>
      </c>
      <c r="G389">
        <v>-2300</v>
      </c>
      <c r="H389" t="s">
        <v>170</v>
      </c>
      <c r="I389" t="s">
        <v>171</v>
      </c>
    </row>
    <row r="390" spans="1:9">
      <c r="A390" s="50">
        <v>46041</v>
      </c>
      <c r="B390" s="51">
        <v>0.7640046296296297</v>
      </c>
      <c r="C390" t="s">
        <v>167</v>
      </c>
      <c r="D390" t="s">
        <v>40</v>
      </c>
      <c r="E390" t="s">
        <v>261</v>
      </c>
      <c r="F390" t="s">
        <v>304</v>
      </c>
      <c r="G390">
        <v>-20500</v>
      </c>
      <c r="H390" t="s">
        <v>170</v>
      </c>
      <c r="I390" t="s">
        <v>253</v>
      </c>
    </row>
    <row r="391" spans="1:9">
      <c r="A391" s="50">
        <v>46041</v>
      </c>
      <c r="B391" s="51">
        <v>0.565300925925926</v>
      </c>
      <c r="C391" t="s">
        <v>167</v>
      </c>
      <c r="D391" t="s">
        <v>45</v>
      </c>
      <c r="E391" t="s">
        <v>185</v>
      </c>
      <c r="F391" t="s">
        <v>186</v>
      </c>
      <c r="G391">
        <v>-34270</v>
      </c>
      <c r="H391" t="s">
        <v>170</v>
      </c>
      <c r="I391" t="s">
        <v>187</v>
      </c>
    </row>
    <row r="392" spans="1:9">
      <c r="A392" s="50">
        <v>46041</v>
      </c>
      <c r="B392" s="51">
        <v>0.5266435185185185</v>
      </c>
      <c r="C392" t="s">
        <v>167</v>
      </c>
      <c r="D392" t="s">
        <v>40</v>
      </c>
      <c r="E392" t="s">
        <v>176</v>
      </c>
      <c r="F392" t="s">
        <v>205</v>
      </c>
      <c r="G392">
        <v>-9000</v>
      </c>
      <c r="H392" t="s">
        <v>170</v>
      </c>
      <c r="I392" t="s">
        <v>171</v>
      </c>
    </row>
    <row r="393" spans="1:9">
      <c r="A393" s="50">
        <v>46041</v>
      </c>
      <c r="B393" s="51">
        <v>0.4667129629629629</v>
      </c>
      <c r="C393" t="s">
        <v>167</v>
      </c>
      <c r="D393" t="s">
        <v>42</v>
      </c>
      <c r="E393" t="s">
        <v>188</v>
      </c>
      <c r="F393" t="s">
        <v>354</v>
      </c>
      <c r="G393">
        <v>-29394</v>
      </c>
      <c r="H393" t="s">
        <v>170</v>
      </c>
      <c r="I393" t="s">
        <v>187</v>
      </c>
    </row>
    <row r="394" spans="1:9">
      <c r="A394" s="50">
        <v>46041</v>
      </c>
      <c r="B394" s="51">
        <v>0.4451851851851852</v>
      </c>
      <c r="C394" t="s">
        <v>167</v>
      </c>
      <c r="D394" t="s">
        <v>42</v>
      </c>
      <c r="E394" t="s">
        <v>188</v>
      </c>
      <c r="F394" t="s">
        <v>403</v>
      </c>
      <c r="G394">
        <v>0</v>
      </c>
      <c r="H394" t="s">
        <v>170</v>
      </c>
      <c r="I394" t="s">
        <v>171</v>
      </c>
    </row>
    <row r="395" spans="1:9">
      <c r="A395" s="50">
        <v>46041</v>
      </c>
      <c r="B395" s="51">
        <v>0.4419212962962963</v>
      </c>
      <c r="C395" t="s">
        <v>167</v>
      </c>
      <c r="D395" t="s">
        <v>42</v>
      </c>
      <c r="E395" t="s">
        <v>235</v>
      </c>
      <c r="F395" t="s">
        <v>353</v>
      </c>
      <c r="G395">
        <v>-125280</v>
      </c>
      <c r="H395" t="s">
        <v>170</v>
      </c>
      <c r="I395" t="s">
        <v>187</v>
      </c>
    </row>
    <row r="396" spans="1:9">
      <c r="A396" s="50">
        <v>46041</v>
      </c>
      <c r="B396" s="51">
        <v>0</v>
      </c>
      <c r="C396" t="s">
        <v>167</v>
      </c>
      <c r="D396" t="s">
        <v>42</v>
      </c>
      <c r="E396" t="s">
        <v>188</v>
      </c>
      <c r="F396" t="s">
        <v>404</v>
      </c>
      <c r="G396">
        <v>7890</v>
      </c>
      <c r="H396" t="s">
        <v>170</v>
      </c>
      <c r="I396" t="s">
        <v>243</v>
      </c>
    </row>
    <row r="397" spans="1:9">
      <c r="A397" s="50">
        <v>46040</v>
      </c>
      <c r="B397" s="51">
        <v>0.5821990740740741</v>
      </c>
      <c r="C397" t="s">
        <v>167</v>
      </c>
      <c r="D397" t="s">
        <v>42</v>
      </c>
      <c r="E397" t="s">
        <v>338</v>
      </c>
      <c r="F397" t="s">
        <v>339</v>
      </c>
      <c r="G397">
        <v>-22000</v>
      </c>
      <c r="H397" t="s">
        <v>170</v>
      </c>
      <c r="I397" t="s">
        <v>187</v>
      </c>
    </row>
    <row r="398" spans="1:9">
      <c r="A398" s="50">
        <v>46040</v>
      </c>
      <c r="B398" s="51">
        <v>0.562337962962963</v>
      </c>
      <c r="C398" t="s">
        <v>167</v>
      </c>
      <c r="D398" t="s">
        <v>46</v>
      </c>
      <c r="E398" t="s">
        <v>168</v>
      </c>
      <c r="F398" t="s">
        <v>305</v>
      </c>
      <c r="G398">
        <v>-6000</v>
      </c>
      <c r="H398" t="s">
        <v>170</v>
      </c>
      <c r="I398" t="s">
        <v>171</v>
      </c>
    </row>
    <row r="399" spans="1:9">
      <c r="A399" s="50">
        <v>46040</v>
      </c>
      <c r="B399" s="51">
        <v>0.426875</v>
      </c>
      <c r="C399" t="s">
        <v>167</v>
      </c>
      <c r="D399" t="s">
        <v>35</v>
      </c>
      <c r="E399" t="s">
        <v>360</v>
      </c>
      <c r="F399" t="s">
        <v>252</v>
      </c>
      <c r="G399">
        <v>-10500</v>
      </c>
      <c r="H399" t="s">
        <v>170</v>
      </c>
      <c r="I399" t="s">
        <v>253</v>
      </c>
    </row>
    <row r="400" spans="1:9">
      <c r="A400" s="50">
        <v>46040</v>
      </c>
      <c r="B400" s="51">
        <v>0.3789351851851852</v>
      </c>
      <c r="C400" t="s">
        <v>167</v>
      </c>
      <c r="D400" t="s">
        <v>42</v>
      </c>
      <c r="E400" t="s">
        <v>235</v>
      </c>
      <c r="F400" t="s">
        <v>242</v>
      </c>
      <c r="G400">
        <v>-20000</v>
      </c>
      <c r="H400" t="s">
        <v>170</v>
      </c>
      <c r="I400" t="s">
        <v>243</v>
      </c>
    </row>
    <row r="401" spans="1:9">
      <c r="A401" s="50">
        <v>46039</v>
      </c>
      <c r="B401" s="51">
        <v>0.64625</v>
      </c>
      <c r="C401" t="s">
        <v>167</v>
      </c>
      <c r="D401" t="s">
        <v>46</v>
      </c>
      <c r="E401" t="s">
        <v>405</v>
      </c>
      <c r="F401" t="s">
        <v>406</v>
      </c>
      <c r="G401">
        <v>-4000</v>
      </c>
      <c r="H401" t="s">
        <v>170</v>
      </c>
      <c r="I401" t="s">
        <v>171</v>
      </c>
    </row>
    <row r="402" spans="1:9">
      <c r="A402" s="50">
        <v>46039</v>
      </c>
      <c r="B402" s="51">
        <v>0.6436689814814814</v>
      </c>
      <c r="C402" t="s">
        <v>167</v>
      </c>
      <c r="D402" t="s">
        <v>34</v>
      </c>
      <c r="E402" t="s">
        <v>208</v>
      </c>
      <c r="F402" t="s">
        <v>308</v>
      </c>
      <c r="G402">
        <v>-23000</v>
      </c>
      <c r="H402" t="s">
        <v>170</v>
      </c>
      <c r="I402" t="s">
        <v>237</v>
      </c>
    </row>
    <row r="403" spans="1:9">
      <c r="A403" s="50">
        <v>46039</v>
      </c>
      <c r="B403" s="51">
        <v>0.5802199074074074</v>
      </c>
      <c r="C403" t="s">
        <v>167</v>
      </c>
      <c r="D403" t="s">
        <v>40</v>
      </c>
      <c r="E403" t="s">
        <v>356</v>
      </c>
      <c r="F403" t="s">
        <v>407</v>
      </c>
      <c r="G403">
        <v>-8000</v>
      </c>
      <c r="H403" t="s">
        <v>170</v>
      </c>
      <c r="I403" t="s">
        <v>187</v>
      </c>
    </row>
    <row r="404" spans="1:9">
      <c r="A404" s="50">
        <v>46039</v>
      </c>
      <c r="B404" s="51">
        <v>0.5690740740740741</v>
      </c>
      <c r="C404" t="s">
        <v>167</v>
      </c>
      <c r="D404" t="s">
        <v>46</v>
      </c>
      <c r="E404" t="s">
        <v>168</v>
      </c>
      <c r="F404" t="s">
        <v>305</v>
      </c>
      <c r="G404">
        <v>-3000</v>
      </c>
      <c r="H404" t="s">
        <v>170</v>
      </c>
      <c r="I404" t="s">
        <v>171</v>
      </c>
    </row>
    <row r="405" spans="1:9">
      <c r="A405" s="50">
        <v>46039</v>
      </c>
      <c r="B405" s="51">
        <v>0.5622569444444444</v>
      </c>
      <c r="C405" t="s">
        <v>167</v>
      </c>
      <c r="D405" t="s">
        <v>43</v>
      </c>
      <c r="E405" t="s">
        <v>399</v>
      </c>
      <c r="F405" t="s">
        <v>400</v>
      </c>
      <c r="G405">
        <v>-24200</v>
      </c>
      <c r="H405" t="s">
        <v>170</v>
      </c>
      <c r="I405" t="s">
        <v>171</v>
      </c>
    </row>
    <row r="406" spans="1:9">
      <c r="A406" s="50">
        <v>46038</v>
      </c>
      <c r="B406" s="51">
        <v>0.5262847222222222</v>
      </c>
      <c r="C406" t="s">
        <v>167</v>
      </c>
      <c r="D406" t="s">
        <v>40</v>
      </c>
      <c r="E406" t="s">
        <v>244</v>
      </c>
      <c r="F406" t="s">
        <v>314</v>
      </c>
      <c r="G406">
        <v>-17400</v>
      </c>
      <c r="H406" t="s">
        <v>170</v>
      </c>
      <c r="I406" t="s">
        <v>171</v>
      </c>
    </row>
    <row r="407" spans="1:9">
      <c r="A407" s="50">
        <v>46037</v>
      </c>
      <c r="B407" s="51">
        <v>0.5303356481481482</v>
      </c>
      <c r="C407" t="s">
        <v>167</v>
      </c>
      <c r="D407" t="s">
        <v>40</v>
      </c>
      <c r="E407" t="s">
        <v>176</v>
      </c>
      <c r="F407" t="s">
        <v>408</v>
      </c>
      <c r="G407">
        <v>-15330</v>
      </c>
      <c r="H407" t="s">
        <v>170</v>
      </c>
      <c r="I407" t="s">
        <v>171</v>
      </c>
    </row>
    <row r="408" spans="1:9">
      <c r="A408" s="50">
        <v>46037</v>
      </c>
      <c r="B408" s="51">
        <v>0.1309027777777778</v>
      </c>
      <c r="C408" t="s">
        <v>172</v>
      </c>
      <c r="D408" t="s">
        <v>200</v>
      </c>
      <c r="E408" t="s">
        <v>173</v>
      </c>
      <c r="F408" t="s">
        <v>201</v>
      </c>
      <c r="G408">
        <v>-1010246</v>
      </c>
      <c r="H408" t="s">
        <v>170</v>
      </c>
      <c r="I408" t="s">
        <v>61</v>
      </c>
    </row>
    <row r="409" spans="1:9">
      <c r="A409" s="50">
        <v>46036</v>
      </c>
      <c r="B409" s="51">
        <v>0.5498726851851852</v>
      </c>
      <c r="C409" t="s">
        <v>167</v>
      </c>
      <c r="D409" t="s">
        <v>40</v>
      </c>
      <c r="E409" t="s">
        <v>383</v>
      </c>
      <c r="F409" t="s">
        <v>384</v>
      </c>
      <c r="G409">
        <v>-10000</v>
      </c>
      <c r="H409" t="s">
        <v>170</v>
      </c>
      <c r="I409" t="s">
        <v>171</v>
      </c>
    </row>
    <row r="410" spans="1:9">
      <c r="A410" s="50">
        <v>46036</v>
      </c>
      <c r="B410" s="51">
        <v>0.4658796296296296</v>
      </c>
      <c r="C410" t="s">
        <v>167</v>
      </c>
      <c r="D410" t="s">
        <v>34</v>
      </c>
      <c r="E410" t="s">
        <v>208</v>
      </c>
      <c r="F410" t="s">
        <v>409</v>
      </c>
      <c r="G410">
        <v>-300</v>
      </c>
      <c r="H410" t="s">
        <v>170</v>
      </c>
      <c r="I410" t="s">
        <v>171</v>
      </c>
    </row>
    <row r="411" spans="1:9">
      <c r="A411" s="50">
        <v>46036</v>
      </c>
      <c r="B411" s="51">
        <v>0.4052662037037037</v>
      </c>
      <c r="C411" t="s">
        <v>167</v>
      </c>
      <c r="D411" t="s">
        <v>34</v>
      </c>
      <c r="E411" t="s">
        <v>206</v>
      </c>
      <c r="F411" t="s">
        <v>410</v>
      </c>
      <c r="G411">
        <v>-600</v>
      </c>
      <c r="H411" t="s">
        <v>170</v>
      </c>
      <c r="I411" t="s">
        <v>171</v>
      </c>
    </row>
    <row r="412" spans="1:9">
      <c r="A412" s="50">
        <v>46035</v>
      </c>
      <c r="B412" s="51">
        <v>0.9051736111111112</v>
      </c>
      <c r="C412" t="s">
        <v>167</v>
      </c>
      <c r="D412" t="s">
        <v>42</v>
      </c>
      <c r="E412" t="s">
        <v>235</v>
      </c>
      <c r="F412" t="s">
        <v>353</v>
      </c>
      <c r="G412">
        <v>-32800</v>
      </c>
      <c r="H412" t="s">
        <v>170</v>
      </c>
      <c r="I412" t="s">
        <v>187</v>
      </c>
    </row>
    <row r="413" spans="1:9">
      <c r="A413" s="50">
        <v>46035</v>
      </c>
      <c r="B413" s="51">
        <v>0.8641666666666666</v>
      </c>
      <c r="C413" t="s">
        <v>167</v>
      </c>
      <c r="D413" t="s">
        <v>42</v>
      </c>
      <c r="E413" t="s">
        <v>235</v>
      </c>
      <c r="F413" t="s">
        <v>353</v>
      </c>
      <c r="G413">
        <v>-110400</v>
      </c>
      <c r="H413" t="s">
        <v>170</v>
      </c>
      <c r="I413" t="s">
        <v>187</v>
      </c>
    </row>
    <row r="414" spans="1:9">
      <c r="A414" s="50">
        <v>46035</v>
      </c>
      <c r="B414" s="51">
        <v>0.5455902777777778</v>
      </c>
      <c r="C414" t="s">
        <v>167</v>
      </c>
      <c r="D414" t="s">
        <v>40</v>
      </c>
      <c r="E414" t="s">
        <v>176</v>
      </c>
      <c r="F414" t="s">
        <v>321</v>
      </c>
      <c r="G414">
        <v>-12000</v>
      </c>
      <c r="H414" t="s">
        <v>170</v>
      </c>
      <c r="I414" t="s">
        <v>171</v>
      </c>
    </row>
    <row r="415" spans="1:9">
      <c r="A415" s="50">
        <v>46034</v>
      </c>
      <c r="B415" s="51">
        <v>0.8998379629629629</v>
      </c>
      <c r="C415" t="s">
        <v>167</v>
      </c>
      <c r="D415" t="s">
        <v>34</v>
      </c>
      <c r="E415" t="s">
        <v>208</v>
      </c>
      <c r="F415" t="s">
        <v>308</v>
      </c>
      <c r="G415">
        <v>-56835</v>
      </c>
      <c r="H415" t="s">
        <v>170</v>
      </c>
      <c r="I415" t="s">
        <v>237</v>
      </c>
    </row>
    <row r="416" spans="1:9">
      <c r="A416" s="50">
        <v>46034</v>
      </c>
      <c r="B416" s="51">
        <v>0.8995138888888888</v>
      </c>
      <c r="C416" t="s">
        <v>167</v>
      </c>
      <c r="D416" t="s">
        <v>42</v>
      </c>
      <c r="E416" t="s">
        <v>235</v>
      </c>
      <c r="F416" t="s">
        <v>411</v>
      </c>
      <c r="G416">
        <v>-2165</v>
      </c>
      <c r="H416" t="s">
        <v>170</v>
      </c>
      <c r="I416" t="s">
        <v>412</v>
      </c>
    </row>
    <row r="417" spans="1:9">
      <c r="A417" s="50">
        <v>46034</v>
      </c>
      <c r="B417" s="51">
        <v>0.857025462962963</v>
      </c>
      <c r="C417" t="s">
        <v>167</v>
      </c>
      <c r="D417" t="s">
        <v>46</v>
      </c>
      <c r="E417" t="s">
        <v>413</v>
      </c>
      <c r="F417" t="s">
        <v>414</v>
      </c>
      <c r="G417">
        <v>-4400</v>
      </c>
      <c r="H417" t="s">
        <v>170</v>
      </c>
      <c r="I417" t="s">
        <v>171</v>
      </c>
    </row>
    <row r="418" spans="1:9">
      <c r="A418" s="50">
        <v>46034</v>
      </c>
      <c r="B418" s="51">
        <v>0.7822800925925926</v>
      </c>
      <c r="C418" t="s">
        <v>167</v>
      </c>
      <c r="D418" t="s">
        <v>33</v>
      </c>
      <c r="E418" t="s">
        <v>282</v>
      </c>
      <c r="F418" t="s">
        <v>415</v>
      </c>
      <c r="G418">
        <v>-1500</v>
      </c>
      <c r="H418" t="s">
        <v>170</v>
      </c>
      <c r="I418" t="s">
        <v>60</v>
      </c>
    </row>
    <row r="419" spans="1:9">
      <c r="A419" s="50">
        <v>46034</v>
      </c>
      <c r="B419" s="51">
        <v>0.7759490740740741</v>
      </c>
      <c r="C419" t="s">
        <v>172</v>
      </c>
      <c r="D419" t="s">
        <v>195</v>
      </c>
      <c r="E419" t="s">
        <v>173</v>
      </c>
      <c r="F419" t="s">
        <v>7</v>
      </c>
      <c r="G419">
        <v>700000</v>
      </c>
      <c r="H419" t="s">
        <v>170</v>
      </c>
      <c r="I419" t="s">
        <v>67</v>
      </c>
    </row>
    <row r="420" spans="1:9">
      <c r="A420" s="50">
        <v>46034</v>
      </c>
      <c r="B420" s="51">
        <v>0.7759490740740741</v>
      </c>
      <c r="C420" t="s">
        <v>172</v>
      </c>
      <c r="D420" t="s">
        <v>195</v>
      </c>
      <c r="E420" t="s">
        <v>173</v>
      </c>
      <c r="F420" t="s">
        <v>416</v>
      </c>
      <c r="G420">
        <v>-700000</v>
      </c>
      <c r="H420" t="s">
        <v>170</v>
      </c>
      <c r="I420" t="s">
        <v>59</v>
      </c>
    </row>
    <row r="421" spans="1:9">
      <c r="A421" s="50">
        <v>46034</v>
      </c>
      <c r="B421" s="51">
        <v>0.5300347222222223</v>
      </c>
      <c r="C421" t="s">
        <v>167</v>
      </c>
      <c r="D421" t="s">
        <v>40</v>
      </c>
      <c r="E421" t="s">
        <v>329</v>
      </c>
      <c r="F421" t="s">
        <v>417</v>
      </c>
      <c r="G421">
        <v>-13500</v>
      </c>
      <c r="H421" t="s">
        <v>170</v>
      </c>
      <c r="I421" t="s">
        <v>171</v>
      </c>
    </row>
    <row r="422" spans="1:9">
      <c r="A422" s="50">
        <v>46034</v>
      </c>
      <c r="B422" s="51">
        <v>0.341724537037037</v>
      </c>
      <c r="C422" t="s">
        <v>167</v>
      </c>
      <c r="D422" t="s">
        <v>42</v>
      </c>
      <c r="E422" t="s">
        <v>338</v>
      </c>
      <c r="F422" t="s">
        <v>339</v>
      </c>
      <c r="G422">
        <v>-12000</v>
      </c>
      <c r="H422" t="s">
        <v>170</v>
      </c>
      <c r="I422" t="s">
        <v>187</v>
      </c>
    </row>
    <row r="423" spans="1:9">
      <c r="A423" s="50">
        <v>46034</v>
      </c>
      <c r="B423" s="51">
        <v>0.3406597222222222</v>
      </c>
      <c r="C423" t="s">
        <v>167</v>
      </c>
      <c r="D423" t="s">
        <v>35</v>
      </c>
      <c r="E423" t="s">
        <v>197</v>
      </c>
      <c r="F423" t="s">
        <v>198</v>
      </c>
      <c r="G423">
        <v>-12000</v>
      </c>
      <c r="H423" t="s">
        <v>170</v>
      </c>
      <c r="I423" t="s">
        <v>199</v>
      </c>
    </row>
    <row r="424" spans="1:9">
      <c r="A424" s="50">
        <v>46033</v>
      </c>
      <c r="B424" s="51">
        <v>0.7319560185185185</v>
      </c>
      <c r="C424" t="s">
        <v>167</v>
      </c>
      <c r="D424" t="s">
        <v>42</v>
      </c>
      <c r="E424" t="s">
        <v>235</v>
      </c>
      <c r="F424" t="s">
        <v>242</v>
      </c>
      <c r="G424">
        <v>-7520</v>
      </c>
      <c r="H424" t="s">
        <v>170</v>
      </c>
      <c r="I424" t="s">
        <v>243</v>
      </c>
    </row>
    <row r="425" spans="1:9">
      <c r="A425" s="50">
        <v>46033</v>
      </c>
      <c r="B425" s="51">
        <v>0.5503703703703704</v>
      </c>
      <c r="C425" t="s">
        <v>167</v>
      </c>
      <c r="D425" t="s">
        <v>46</v>
      </c>
      <c r="E425" t="s">
        <v>168</v>
      </c>
      <c r="F425" t="s">
        <v>418</v>
      </c>
      <c r="G425">
        <v>-4600</v>
      </c>
      <c r="H425" t="s">
        <v>170</v>
      </c>
      <c r="I425" t="s">
        <v>171</v>
      </c>
    </row>
    <row r="426" spans="1:9">
      <c r="A426" s="50">
        <v>46032</v>
      </c>
      <c r="B426" s="51">
        <v>0.5508101851851852</v>
      </c>
      <c r="C426" t="s">
        <v>167</v>
      </c>
      <c r="D426" t="s">
        <v>46</v>
      </c>
      <c r="E426" t="s">
        <v>168</v>
      </c>
      <c r="F426" t="s">
        <v>418</v>
      </c>
      <c r="G426">
        <v>-4600</v>
      </c>
      <c r="H426" t="s">
        <v>170</v>
      </c>
      <c r="I426" t="s">
        <v>171</v>
      </c>
    </row>
    <row r="427" spans="1:9">
      <c r="A427" s="50">
        <v>46032</v>
      </c>
      <c r="B427" s="51">
        <v>0.3839583333333333</v>
      </c>
      <c r="C427" t="s">
        <v>172</v>
      </c>
      <c r="D427" t="s">
        <v>195</v>
      </c>
      <c r="E427" t="s">
        <v>173</v>
      </c>
      <c r="F427" t="s">
        <v>265</v>
      </c>
      <c r="G427">
        <v>-93100</v>
      </c>
      <c r="H427" t="s">
        <v>170</v>
      </c>
      <c r="I427" t="s">
        <v>61</v>
      </c>
    </row>
    <row r="428" spans="1:9">
      <c r="A428" s="50">
        <v>46032</v>
      </c>
      <c r="B428" s="51">
        <v>0.3839467592592593</v>
      </c>
      <c r="C428" t="s">
        <v>172</v>
      </c>
      <c r="D428" t="s">
        <v>195</v>
      </c>
      <c r="E428" t="s">
        <v>173</v>
      </c>
      <c r="F428" t="s">
        <v>264</v>
      </c>
      <c r="G428">
        <v>93100</v>
      </c>
      <c r="H428" t="s">
        <v>170</v>
      </c>
      <c r="I428" t="s">
        <v>175</v>
      </c>
    </row>
    <row r="429" spans="1:9">
      <c r="A429" s="50">
        <v>46032</v>
      </c>
      <c r="B429" s="51">
        <v>0.3839467592592593</v>
      </c>
      <c r="C429" t="s">
        <v>167</v>
      </c>
      <c r="D429" t="s">
        <v>42</v>
      </c>
      <c r="E429" t="s">
        <v>235</v>
      </c>
      <c r="F429" t="s">
        <v>368</v>
      </c>
      <c r="G429">
        <v>-102000</v>
      </c>
      <c r="H429" t="s">
        <v>170</v>
      </c>
      <c r="I429" t="s">
        <v>253</v>
      </c>
    </row>
    <row r="430" spans="1:9">
      <c r="A430" s="50">
        <v>46032</v>
      </c>
      <c r="B430" s="51">
        <v>0.3761921296296296</v>
      </c>
      <c r="C430" t="s">
        <v>167</v>
      </c>
      <c r="D430" t="s">
        <v>46</v>
      </c>
      <c r="E430" t="s">
        <v>168</v>
      </c>
      <c r="F430" t="s">
        <v>419</v>
      </c>
      <c r="G430">
        <v>-39000</v>
      </c>
      <c r="H430" t="s">
        <v>170</v>
      </c>
      <c r="I430" t="s">
        <v>237</v>
      </c>
    </row>
    <row r="431" spans="1:9">
      <c r="A431" s="50">
        <v>46031</v>
      </c>
      <c r="B431" s="51">
        <v>0.9286111111111112</v>
      </c>
      <c r="C431" t="s">
        <v>172</v>
      </c>
      <c r="D431" t="s">
        <v>195</v>
      </c>
      <c r="E431" t="s">
        <v>173</v>
      </c>
      <c r="F431" t="s">
        <v>264</v>
      </c>
      <c r="G431">
        <v>10000</v>
      </c>
      <c r="H431" t="s">
        <v>170</v>
      </c>
      <c r="I431" t="s">
        <v>175</v>
      </c>
    </row>
    <row r="432" spans="1:9">
      <c r="A432" s="50">
        <v>46031</v>
      </c>
      <c r="B432" s="51">
        <v>0.9286111111111112</v>
      </c>
      <c r="C432" t="s">
        <v>167</v>
      </c>
      <c r="D432" t="s">
        <v>35</v>
      </c>
      <c r="E432" t="s">
        <v>360</v>
      </c>
      <c r="F432" t="s">
        <v>252</v>
      </c>
      <c r="G432">
        <v>-1100</v>
      </c>
      <c r="H432" t="s">
        <v>170</v>
      </c>
      <c r="I432" t="s">
        <v>253</v>
      </c>
    </row>
    <row r="433" spans="1:9">
      <c r="A433" s="50">
        <v>46031</v>
      </c>
      <c r="B433" s="51">
        <v>0.9286111111111112</v>
      </c>
      <c r="C433" t="s">
        <v>172</v>
      </c>
      <c r="D433" t="s">
        <v>195</v>
      </c>
      <c r="E433" t="s">
        <v>173</v>
      </c>
      <c r="F433" t="s">
        <v>265</v>
      </c>
      <c r="G433">
        <v>-10000</v>
      </c>
      <c r="H433" t="s">
        <v>170</v>
      </c>
      <c r="I433" t="s">
        <v>61</v>
      </c>
    </row>
    <row r="434" spans="1:9">
      <c r="A434" s="50">
        <v>46031</v>
      </c>
      <c r="B434" s="51">
        <v>0.5527893518518519</v>
      </c>
      <c r="C434" t="s">
        <v>167</v>
      </c>
      <c r="D434" t="s">
        <v>40</v>
      </c>
      <c r="E434" t="s">
        <v>176</v>
      </c>
      <c r="F434" t="s">
        <v>321</v>
      </c>
      <c r="G434">
        <v>-12500</v>
      </c>
      <c r="H434" t="s">
        <v>170</v>
      </c>
      <c r="I434" t="s">
        <v>171</v>
      </c>
    </row>
    <row r="435" spans="1:9">
      <c r="A435" s="50">
        <v>46030</v>
      </c>
      <c r="B435" s="51">
        <v>0.5270023148148149</v>
      </c>
      <c r="C435" t="s">
        <v>167</v>
      </c>
      <c r="D435" t="s">
        <v>40</v>
      </c>
      <c r="E435" t="s">
        <v>324</v>
      </c>
      <c r="F435" t="s">
        <v>325</v>
      </c>
      <c r="G435">
        <v>-9900</v>
      </c>
      <c r="H435" t="s">
        <v>170</v>
      </c>
      <c r="I435" t="s">
        <v>171</v>
      </c>
    </row>
    <row r="436" spans="1:9">
      <c r="A436" s="50">
        <v>46029</v>
      </c>
      <c r="B436" s="51">
        <v>0.528587962962963</v>
      </c>
      <c r="C436" t="s">
        <v>167</v>
      </c>
      <c r="D436" t="s">
        <v>40</v>
      </c>
      <c r="E436" t="s">
        <v>244</v>
      </c>
      <c r="F436" t="s">
        <v>314</v>
      </c>
      <c r="G436">
        <v>-17400</v>
      </c>
      <c r="H436" t="s">
        <v>170</v>
      </c>
      <c r="I436" t="s">
        <v>171</v>
      </c>
    </row>
    <row r="437" spans="1:9">
      <c r="A437" s="50">
        <v>46028</v>
      </c>
      <c r="B437" s="51">
        <v>0.8644444444444445</v>
      </c>
      <c r="C437" t="s">
        <v>167</v>
      </c>
      <c r="D437" t="s">
        <v>42</v>
      </c>
      <c r="E437" t="s">
        <v>235</v>
      </c>
      <c r="F437" t="s">
        <v>420</v>
      </c>
      <c r="G437">
        <v>-50500</v>
      </c>
      <c r="H437" t="s">
        <v>170</v>
      </c>
      <c r="I437" t="s">
        <v>237</v>
      </c>
    </row>
    <row r="438" spans="1:9">
      <c r="A438" s="50">
        <v>46028</v>
      </c>
      <c r="B438" s="51">
        <v>0.8562962962962963</v>
      </c>
      <c r="C438" t="s">
        <v>167</v>
      </c>
      <c r="D438" t="s">
        <v>46</v>
      </c>
      <c r="E438" t="s">
        <v>168</v>
      </c>
      <c r="F438" t="s">
        <v>279</v>
      </c>
      <c r="G438">
        <v>-35400</v>
      </c>
      <c r="H438" t="s">
        <v>170</v>
      </c>
      <c r="I438" t="s">
        <v>237</v>
      </c>
    </row>
    <row r="439" spans="1:9">
      <c r="A439" s="50">
        <v>46028</v>
      </c>
      <c r="B439" s="51">
        <v>0.5553009259259259</v>
      </c>
      <c r="C439" t="s">
        <v>167</v>
      </c>
      <c r="D439" t="s">
        <v>40</v>
      </c>
      <c r="E439" t="s">
        <v>176</v>
      </c>
      <c r="F439" t="s">
        <v>421</v>
      </c>
      <c r="G439">
        <v>-13000</v>
      </c>
      <c r="H439" t="s">
        <v>170</v>
      </c>
      <c r="I439" t="s">
        <v>171</v>
      </c>
    </row>
    <row r="440" spans="1:9">
      <c r="A440" s="50">
        <v>46027</v>
      </c>
      <c r="B440" s="51">
        <v>0.8675115740740741</v>
      </c>
      <c r="C440" t="s">
        <v>167</v>
      </c>
      <c r="D440" t="s">
        <v>42</v>
      </c>
      <c r="E440" t="s">
        <v>188</v>
      </c>
      <c r="F440" t="s">
        <v>231</v>
      </c>
      <c r="G440">
        <v>-14900</v>
      </c>
      <c r="H440" t="s">
        <v>170</v>
      </c>
      <c r="I440" t="s">
        <v>187</v>
      </c>
    </row>
    <row r="441" spans="1:9">
      <c r="A441" s="50">
        <v>46027</v>
      </c>
      <c r="B441" s="51">
        <v>0.4385300925925926</v>
      </c>
      <c r="C441" t="s">
        <v>167</v>
      </c>
      <c r="D441" t="s">
        <v>42</v>
      </c>
      <c r="E441" t="s">
        <v>188</v>
      </c>
      <c r="F441" t="s">
        <v>320</v>
      </c>
      <c r="G441">
        <v>-7890</v>
      </c>
      <c r="H441" t="s">
        <v>170</v>
      </c>
      <c r="I441" t="s">
        <v>243</v>
      </c>
    </row>
    <row r="442" spans="1:9">
      <c r="A442" s="50">
        <v>46027</v>
      </c>
      <c r="B442" s="51">
        <v>0.4265856481481481</v>
      </c>
      <c r="C442" t="s">
        <v>172</v>
      </c>
      <c r="D442" t="s">
        <v>172</v>
      </c>
      <c r="E442" t="s">
        <v>173</v>
      </c>
      <c r="F442" t="s">
        <v>265</v>
      </c>
      <c r="G442">
        <v>-70000</v>
      </c>
      <c r="H442" t="s">
        <v>170</v>
      </c>
      <c r="I442" t="s">
        <v>61</v>
      </c>
    </row>
    <row r="443" spans="1:9">
      <c r="A443" s="50">
        <v>46026</v>
      </c>
      <c r="B443" s="51">
        <v>0.5460879629629629</v>
      </c>
      <c r="C443" t="s">
        <v>167</v>
      </c>
      <c r="D443" t="s">
        <v>42</v>
      </c>
      <c r="E443" t="s">
        <v>338</v>
      </c>
      <c r="F443" t="s">
        <v>339</v>
      </c>
      <c r="G443">
        <v>-22000</v>
      </c>
      <c r="H443" t="s">
        <v>170</v>
      </c>
      <c r="I443" t="s">
        <v>187</v>
      </c>
    </row>
    <row r="444" spans="1:9">
      <c r="A444" s="50">
        <v>46026</v>
      </c>
      <c r="B444" s="51">
        <v>0.5199305555555556</v>
      </c>
      <c r="C444" t="s">
        <v>167</v>
      </c>
      <c r="D444" t="s">
        <v>46</v>
      </c>
      <c r="E444" t="s">
        <v>168</v>
      </c>
      <c r="F444" t="s">
        <v>418</v>
      </c>
      <c r="G444">
        <v>-2300</v>
      </c>
      <c r="H444" t="s">
        <v>170</v>
      </c>
      <c r="I444" t="s">
        <v>171</v>
      </c>
    </row>
    <row r="445" spans="1:9">
      <c r="A445" s="50">
        <v>46026</v>
      </c>
      <c r="B445" s="51">
        <v>0.1137615740740741</v>
      </c>
      <c r="C445" t="s">
        <v>167</v>
      </c>
      <c r="D445" t="s">
        <v>42</v>
      </c>
      <c r="E445" t="s">
        <v>188</v>
      </c>
      <c r="F445" t="s">
        <v>252</v>
      </c>
      <c r="G445">
        <v>-13500</v>
      </c>
      <c r="H445" t="s">
        <v>170</v>
      </c>
      <c r="I445" t="s">
        <v>253</v>
      </c>
    </row>
    <row r="446" spans="1:9">
      <c r="A446" s="50">
        <v>46025</v>
      </c>
      <c r="B446" s="51">
        <v>0.8357870370370371</v>
      </c>
      <c r="C446" t="s">
        <v>167</v>
      </c>
      <c r="D446" t="s">
        <v>38</v>
      </c>
      <c r="E446" t="s">
        <v>181</v>
      </c>
      <c r="F446" t="s">
        <v>192</v>
      </c>
      <c r="G446">
        <v>-24400</v>
      </c>
      <c r="H446" t="s">
        <v>170</v>
      </c>
      <c r="I446" t="s">
        <v>171</v>
      </c>
    </row>
    <row r="447" spans="1:9">
      <c r="A447" s="50">
        <v>46025</v>
      </c>
      <c r="B447" s="51">
        <v>0.424849537037037</v>
      </c>
      <c r="C447" t="s">
        <v>167</v>
      </c>
      <c r="D447" t="s">
        <v>42</v>
      </c>
      <c r="E447" t="s">
        <v>188</v>
      </c>
      <c r="F447" t="s">
        <v>256</v>
      </c>
      <c r="G447">
        <v>-2990</v>
      </c>
      <c r="H447" t="s">
        <v>170</v>
      </c>
      <c r="I447" t="s">
        <v>237</v>
      </c>
    </row>
    <row r="448" spans="1:9">
      <c r="A448" s="50">
        <v>46024</v>
      </c>
      <c r="B448" s="51">
        <v>0.549849537037037</v>
      </c>
      <c r="C448" t="s">
        <v>167</v>
      </c>
      <c r="D448" t="s">
        <v>40</v>
      </c>
      <c r="E448" t="s">
        <v>176</v>
      </c>
      <c r="F448" t="s">
        <v>422</v>
      </c>
      <c r="G448">
        <v>-9900</v>
      </c>
      <c r="H448" t="s">
        <v>170</v>
      </c>
      <c r="I448" t="s">
        <v>171</v>
      </c>
    </row>
    <row r="449" spans="1:9">
      <c r="A449" s="50">
        <v>46023</v>
      </c>
      <c r="B449" s="51">
        <v>0.5890162037037037</v>
      </c>
      <c r="C449" t="s">
        <v>167</v>
      </c>
      <c r="D449" t="s">
        <v>46</v>
      </c>
      <c r="E449" t="s">
        <v>168</v>
      </c>
      <c r="F449" t="s">
        <v>418</v>
      </c>
      <c r="G449">
        <v>-2300</v>
      </c>
      <c r="H449" t="s">
        <v>170</v>
      </c>
      <c r="I449" t="s">
        <v>171</v>
      </c>
    </row>
    <row r="450" spans="1:9">
      <c r="A450" s="50">
        <v>46023</v>
      </c>
      <c r="B450" s="51">
        <v>0.3301620370370371</v>
      </c>
      <c r="C450" t="s">
        <v>172</v>
      </c>
      <c r="D450" t="s">
        <v>195</v>
      </c>
      <c r="E450" t="s">
        <v>173</v>
      </c>
      <c r="F450" t="s">
        <v>264</v>
      </c>
      <c r="G450">
        <v>16080</v>
      </c>
      <c r="H450" t="s">
        <v>170</v>
      </c>
      <c r="I450" t="s">
        <v>175</v>
      </c>
    </row>
    <row r="451" spans="1:9">
      <c r="A451" s="50">
        <v>46023</v>
      </c>
      <c r="B451" s="51">
        <v>0.3301620370370371</v>
      </c>
      <c r="C451" t="s">
        <v>172</v>
      </c>
      <c r="D451" t="s">
        <v>172</v>
      </c>
      <c r="E451" t="s">
        <v>173</v>
      </c>
      <c r="F451" t="s">
        <v>174</v>
      </c>
      <c r="G451">
        <v>-20000</v>
      </c>
      <c r="H451" t="s">
        <v>170</v>
      </c>
      <c r="I451" t="s">
        <v>175</v>
      </c>
    </row>
    <row r="452" spans="1:9">
      <c r="A452" s="50">
        <v>46023</v>
      </c>
      <c r="B452" s="51">
        <v>0.3301620370370371</v>
      </c>
      <c r="C452" t="s">
        <v>172</v>
      </c>
      <c r="D452" t="s">
        <v>195</v>
      </c>
      <c r="E452" t="s">
        <v>173</v>
      </c>
      <c r="F452" t="s">
        <v>265</v>
      </c>
      <c r="G452">
        <v>-16080</v>
      </c>
      <c r="H452" t="s">
        <v>170</v>
      </c>
      <c r="I452" t="s">
        <v>61</v>
      </c>
    </row>
    <row r="453" spans="1:9">
      <c r="A453" s="50">
        <v>46022</v>
      </c>
      <c r="B453" s="51">
        <v>0.5179282407407407</v>
      </c>
      <c r="C453" t="s">
        <v>167</v>
      </c>
      <c r="D453" t="s">
        <v>46</v>
      </c>
      <c r="E453" t="s">
        <v>168</v>
      </c>
      <c r="F453" t="s">
        <v>418</v>
      </c>
      <c r="G453">
        <v>-2300</v>
      </c>
      <c r="H453" t="s">
        <v>170</v>
      </c>
      <c r="I453" t="s">
        <v>171</v>
      </c>
    </row>
    <row r="454" spans="1:9">
      <c r="A454" s="50">
        <v>46022</v>
      </c>
      <c r="B454" s="51">
        <v>0.5147106481481482</v>
      </c>
      <c r="C454" t="s">
        <v>167</v>
      </c>
      <c r="D454" t="s">
        <v>46</v>
      </c>
      <c r="E454" t="s">
        <v>423</v>
      </c>
      <c r="F454" t="s">
        <v>424</v>
      </c>
      <c r="G454">
        <v>-11350</v>
      </c>
      <c r="H454" t="s">
        <v>170</v>
      </c>
      <c r="I454" t="s">
        <v>171</v>
      </c>
    </row>
    <row r="455" spans="1:9">
      <c r="A455" s="50">
        <v>46022</v>
      </c>
      <c r="B455" s="51">
        <v>0.2429976851851852</v>
      </c>
      <c r="C455" t="s">
        <v>167</v>
      </c>
      <c r="D455" t="s">
        <v>33</v>
      </c>
      <c r="E455" t="s">
        <v>282</v>
      </c>
      <c r="F455" t="s">
        <v>287</v>
      </c>
      <c r="G455">
        <v>-58450</v>
      </c>
      <c r="H455" t="s">
        <v>170</v>
      </c>
      <c r="I455" t="s">
        <v>243</v>
      </c>
    </row>
    <row r="456" spans="1:9">
      <c r="A456" s="50">
        <v>46022</v>
      </c>
      <c r="B456" s="51">
        <v>0.2375462962962963</v>
      </c>
      <c r="C456" t="s">
        <v>167</v>
      </c>
      <c r="D456" t="s">
        <v>33</v>
      </c>
      <c r="E456" t="s">
        <v>282</v>
      </c>
      <c r="F456" t="s">
        <v>287</v>
      </c>
      <c r="G456">
        <v>-37850</v>
      </c>
      <c r="H456" t="s">
        <v>170</v>
      </c>
      <c r="I456" t="s">
        <v>243</v>
      </c>
    </row>
    <row r="457" spans="1:9">
      <c r="A457" s="50">
        <v>46022</v>
      </c>
      <c r="B457" s="51">
        <v>0</v>
      </c>
      <c r="C457" t="s">
        <v>167</v>
      </c>
      <c r="D457" t="s">
        <v>33</v>
      </c>
      <c r="E457" t="s">
        <v>282</v>
      </c>
      <c r="F457" t="s">
        <v>425</v>
      </c>
      <c r="G457">
        <v>-1500</v>
      </c>
      <c r="H457" t="s">
        <v>170</v>
      </c>
      <c r="I457" t="s">
        <v>426</v>
      </c>
    </row>
    <row r="458" spans="1:9">
      <c r="A458" s="50">
        <v>46022</v>
      </c>
      <c r="B458" s="51">
        <v>0</v>
      </c>
      <c r="C458" t="s">
        <v>167</v>
      </c>
      <c r="D458" t="s">
        <v>34</v>
      </c>
      <c r="E458" t="s">
        <v>206</v>
      </c>
      <c r="F458" t="s">
        <v>427</v>
      </c>
      <c r="G458">
        <v>-200</v>
      </c>
      <c r="H458" t="s">
        <v>170</v>
      </c>
      <c r="I458" t="s">
        <v>187</v>
      </c>
    </row>
    <row r="459" spans="1:9">
      <c r="A459" s="50">
        <v>46020</v>
      </c>
      <c r="B459" s="51">
        <v>0.5272800925925926</v>
      </c>
      <c r="C459" t="s">
        <v>167</v>
      </c>
      <c r="D459" t="s">
        <v>40</v>
      </c>
      <c r="E459" t="s">
        <v>176</v>
      </c>
      <c r="F459" t="s">
        <v>205</v>
      </c>
      <c r="G459">
        <v>-9000</v>
      </c>
      <c r="H459" t="s">
        <v>170</v>
      </c>
      <c r="I459" t="s">
        <v>171</v>
      </c>
    </row>
    <row r="460" spans="1:9">
      <c r="A460" s="50">
        <v>46019</v>
      </c>
      <c r="B460" s="51">
        <v>0.5606134259259259</v>
      </c>
      <c r="C460" t="s">
        <v>167</v>
      </c>
      <c r="D460" t="s">
        <v>46</v>
      </c>
      <c r="E460" t="s">
        <v>168</v>
      </c>
      <c r="F460" t="s">
        <v>418</v>
      </c>
      <c r="G460">
        <v>-2300</v>
      </c>
      <c r="H460" t="s">
        <v>170</v>
      </c>
      <c r="I460" t="s">
        <v>171</v>
      </c>
    </row>
    <row r="461" spans="1:9">
      <c r="A461" s="50">
        <v>46018</v>
      </c>
      <c r="B461" s="51">
        <v>0.763287037037037</v>
      </c>
      <c r="C461" t="s">
        <v>167</v>
      </c>
      <c r="D461" t="s">
        <v>40</v>
      </c>
      <c r="E461" t="s">
        <v>261</v>
      </c>
      <c r="F461" t="s">
        <v>262</v>
      </c>
      <c r="G461">
        <v>-24000</v>
      </c>
      <c r="H461" t="s">
        <v>170</v>
      </c>
      <c r="I461" t="s">
        <v>243</v>
      </c>
    </row>
    <row r="462" spans="1:9">
      <c r="A462" s="50">
        <v>46018</v>
      </c>
      <c r="B462" s="51">
        <v>0.5684143518518519</v>
      </c>
      <c r="C462" t="s">
        <v>167</v>
      </c>
      <c r="D462" t="s">
        <v>46</v>
      </c>
      <c r="E462" t="s">
        <v>168</v>
      </c>
      <c r="F462" t="s">
        <v>418</v>
      </c>
      <c r="G462">
        <v>-2300</v>
      </c>
      <c r="H462" t="s">
        <v>170</v>
      </c>
      <c r="I462" t="s">
        <v>171</v>
      </c>
    </row>
    <row r="463" spans="1:9">
      <c r="A463" s="50">
        <v>46018</v>
      </c>
      <c r="B463" s="51">
        <v>0.255787037037037</v>
      </c>
      <c r="C463" t="s">
        <v>233</v>
      </c>
      <c r="D463" t="s">
        <v>28</v>
      </c>
      <c r="E463" t="s">
        <v>173</v>
      </c>
      <c r="F463" t="s">
        <v>278</v>
      </c>
      <c r="G463">
        <v>2</v>
      </c>
      <c r="H463" t="s">
        <v>170</v>
      </c>
      <c r="I463" t="s">
        <v>60</v>
      </c>
    </row>
    <row r="464" spans="1:9">
      <c r="A464" s="50">
        <v>46017</v>
      </c>
      <c r="B464" s="51">
        <v>0.5267939814814815</v>
      </c>
      <c r="C464" t="s">
        <v>167</v>
      </c>
      <c r="D464" t="s">
        <v>40</v>
      </c>
      <c r="E464" t="s">
        <v>244</v>
      </c>
      <c r="F464" t="s">
        <v>314</v>
      </c>
      <c r="G464">
        <v>-17400</v>
      </c>
      <c r="H464" t="s">
        <v>170</v>
      </c>
      <c r="I464" t="s">
        <v>171</v>
      </c>
    </row>
    <row r="465" spans="1:9">
      <c r="A465" s="50">
        <v>46017</v>
      </c>
      <c r="B465" s="51">
        <v>0</v>
      </c>
      <c r="C465" t="s">
        <v>167</v>
      </c>
      <c r="D465" t="s">
        <v>33</v>
      </c>
      <c r="E465" t="s">
        <v>385</v>
      </c>
      <c r="F465" t="s">
        <v>386</v>
      </c>
      <c r="G465">
        <v>59400</v>
      </c>
      <c r="H465" t="s">
        <v>170</v>
      </c>
      <c r="I465" t="s">
        <v>237</v>
      </c>
    </row>
    <row r="466" spans="1:9">
      <c r="A466" s="50">
        <v>46016</v>
      </c>
      <c r="B466" s="51">
        <v>0.7562615740740741</v>
      </c>
      <c r="C466" t="s">
        <v>172</v>
      </c>
      <c r="D466" t="s">
        <v>195</v>
      </c>
      <c r="E466" t="s">
        <v>173</v>
      </c>
      <c r="F466" t="s">
        <v>7</v>
      </c>
      <c r="G466">
        <v>-1500000</v>
      </c>
      <c r="H466" t="s">
        <v>170</v>
      </c>
      <c r="I466" t="s">
        <v>59</v>
      </c>
    </row>
    <row r="467" spans="1:9">
      <c r="A467" s="50">
        <v>46016</v>
      </c>
      <c r="B467" s="51">
        <v>0.7562615740740741</v>
      </c>
      <c r="C467" t="s">
        <v>172</v>
      </c>
      <c r="D467" t="s">
        <v>195</v>
      </c>
      <c r="E467" t="s">
        <v>173</v>
      </c>
      <c r="F467" t="s">
        <v>7</v>
      </c>
      <c r="G467">
        <v>1500000</v>
      </c>
      <c r="H467" t="s">
        <v>170</v>
      </c>
      <c r="I467" t="s">
        <v>61</v>
      </c>
    </row>
    <row r="468" spans="1:9">
      <c r="A468" s="50">
        <v>46016</v>
      </c>
      <c r="B468" s="51">
        <v>0.7560069444444445</v>
      </c>
      <c r="C468" t="s">
        <v>172</v>
      </c>
      <c r="D468" t="s">
        <v>195</v>
      </c>
      <c r="E468" t="s">
        <v>173</v>
      </c>
      <c r="F468" t="s">
        <v>7</v>
      </c>
      <c r="G468">
        <v>-1000000</v>
      </c>
      <c r="H468" t="s">
        <v>170</v>
      </c>
      <c r="I468" t="s">
        <v>59</v>
      </c>
    </row>
    <row r="469" spans="1:9">
      <c r="A469" s="50">
        <v>46016</v>
      </c>
      <c r="B469" s="51">
        <v>0.6852662037037037</v>
      </c>
      <c r="C469" t="s">
        <v>167</v>
      </c>
      <c r="D469" t="s">
        <v>42</v>
      </c>
      <c r="E469" t="s">
        <v>338</v>
      </c>
      <c r="F469" t="s">
        <v>339</v>
      </c>
      <c r="G469">
        <v>-22000</v>
      </c>
      <c r="H469" t="s">
        <v>170</v>
      </c>
      <c r="I469" t="s">
        <v>187</v>
      </c>
    </row>
    <row r="470" spans="1:9">
      <c r="A470" s="50">
        <v>46016</v>
      </c>
      <c r="B470" s="51">
        <v>0.6634490740740741</v>
      </c>
      <c r="C470" t="s">
        <v>167</v>
      </c>
      <c r="D470" t="s">
        <v>38</v>
      </c>
      <c r="E470" t="s">
        <v>181</v>
      </c>
      <c r="F470" t="s">
        <v>428</v>
      </c>
      <c r="G470">
        <v>-11100</v>
      </c>
      <c r="H470" t="s">
        <v>170</v>
      </c>
      <c r="I470" t="s">
        <v>171</v>
      </c>
    </row>
    <row r="471" spans="1:9">
      <c r="A471" s="50">
        <v>46016</v>
      </c>
      <c r="B471" s="51">
        <v>0.6520601851851852</v>
      </c>
      <c r="C471" t="s">
        <v>167</v>
      </c>
      <c r="D471" t="s">
        <v>40</v>
      </c>
      <c r="E471" t="s">
        <v>356</v>
      </c>
      <c r="F471" t="s">
        <v>429</v>
      </c>
      <c r="G471">
        <v>-16000</v>
      </c>
      <c r="H471" t="s">
        <v>170</v>
      </c>
      <c r="I471" t="s">
        <v>171</v>
      </c>
    </row>
    <row r="472" spans="1:9">
      <c r="A472" s="50">
        <v>46016</v>
      </c>
      <c r="B472" s="51">
        <v>0.6004861111111112</v>
      </c>
      <c r="C472" t="s">
        <v>167</v>
      </c>
      <c r="D472" t="s">
        <v>40</v>
      </c>
      <c r="E472" t="s">
        <v>329</v>
      </c>
      <c r="F472" t="s">
        <v>430</v>
      </c>
      <c r="G472">
        <v>-36000</v>
      </c>
      <c r="H472" t="s">
        <v>170</v>
      </c>
      <c r="I472" t="s">
        <v>171</v>
      </c>
    </row>
    <row r="473" spans="1:9">
      <c r="A473" s="50">
        <v>46016</v>
      </c>
      <c r="B473" s="51">
        <v>0.5455208333333333</v>
      </c>
      <c r="C473" t="s">
        <v>167</v>
      </c>
      <c r="D473" t="s">
        <v>38</v>
      </c>
      <c r="E473" t="s">
        <v>181</v>
      </c>
      <c r="F473" t="s">
        <v>431</v>
      </c>
      <c r="G473">
        <v>-3800</v>
      </c>
      <c r="H473" t="s">
        <v>170</v>
      </c>
      <c r="I473" t="s">
        <v>171</v>
      </c>
    </row>
    <row r="474" spans="1:9">
      <c r="A474" s="50">
        <v>46016</v>
      </c>
      <c r="B474" s="51">
        <v>0.5235648148148148</v>
      </c>
      <c r="C474" t="s">
        <v>167</v>
      </c>
      <c r="D474" t="s">
        <v>33</v>
      </c>
      <c r="E474" t="s">
        <v>385</v>
      </c>
      <c r="F474" t="s">
        <v>386</v>
      </c>
      <c r="G474">
        <v>-59800</v>
      </c>
      <c r="H474" t="s">
        <v>170</v>
      </c>
      <c r="I474" t="s">
        <v>237</v>
      </c>
    </row>
    <row r="475" spans="1:9">
      <c r="A475" s="50">
        <v>46016</v>
      </c>
      <c r="B475" s="51">
        <v>0.5003125</v>
      </c>
      <c r="C475" t="s">
        <v>167</v>
      </c>
      <c r="D475" t="s">
        <v>46</v>
      </c>
      <c r="E475" t="s">
        <v>405</v>
      </c>
      <c r="F475" t="s">
        <v>432</v>
      </c>
      <c r="G475">
        <v>-6500</v>
      </c>
      <c r="H475" t="s">
        <v>170</v>
      </c>
      <c r="I475" t="s">
        <v>171</v>
      </c>
    </row>
    <row r="476" spans="1:9">
      <c r="A476" s="50">
        <v>46016</v>
      </c>
      <c r="B476" s="51">
        <v>0.4219328703703704</v>
      </c>
      <c r="C476" t="s">
        <v>167</v>
      </c>
      <c r="D476" t="s">
        <v>46</v>
      </c>
      <c r="E476" t="s">
        <v>405</v>
      </c>
      <c r="F476" t="s">
        <v>432</v>
      </c>
      <c r="G476">
        <v>-10300</v>
      </c>
      <c r="H476" t="s">
        <v>170</v>
      </c>
      <c r="I476" t="s">
        <v>171</v>
      </c>
    </row>
    <row r="477" spans="1:9">
      <c r="A477" s="50">
        <v>46015</v>
      </c>
      <c r="B477" s="51">
        <v>0.8228009259259259</v>
      </c>
      <c r="C477" t="s">
        <v>167</v>
      </c>
      <c r="D477" t="s">
        <v>38</v>
      </c>
      <c r="E477" t="s">
        <v>181</v>
      </c>
      <c r="F477" t="s">
        <v>433</v>
      </c>
      <c r="G477">
        <v>-5400</v>
      </c>
      <c r="H477" t="s">
        <v>170</v>
      </c>
      <c r="I477" t="s">
        <v>171</v>
      </c>
    </row>
    <row r="478" spans="1:9">
      <c r="A478" s="50">
        <v>46015</v>
      </c>
      <c r="B478" s="51">
        <v>0.8189583333333333</v>
      </c>
      <c r="C478" t="s">
        <v>167</v>
      </c>
      <c r="D478" t="s">
        <v>46</v>
      </c>
      <c r="E478" t="s">
        <v>413</v>
      </c>
      <c r="F478" t="s">
        <v>434</v>
      </c>
      <c r="G478">
        <v>-10000</v>
      </c>
      <c r="H478" t="s">
        <v>170</v>
      </c>
      <c r="I478" t="s">
        <v>171</v>
      </c>
    </row>
    <row r="479" spans="1:9">
      <c r="A479" s="50">
        <v>46015</v>
      </c>
      <c r="B479" s="51">
        <v>0.7655092592592593</v>
      </c>
      <c r="C479" t="s">
        <v>167</v>
      </c>
      <c r="D479" t="s">
        <v>40</v>
      </c>
      <c r="E479" t="s">
        <v>329</v>
      </c>
      <c r="F479" t="s">
        <v>430</v>
      </c>
      <c r="G479">
        <v>-43000</v>
      </c>
      <c r="H479" t="s">
        <v>170</v>
      </c>
      <c r="I479" t="s">
        <v>171</v>
      </c>
    </row>
    <row r="480" spans="1:9">
      <c r="A480" s="50">
        <v>46015</v>
      </c>
      <c r="B480" s="51">
        <v>0.5840393518518519</v>
      </c>
      <c r="C480" t="s">
        <v>167</v>
      </c>
      <c r="D480" t="s">
        <v>46</v>
      </c>
      <c r="E480" t="s">
        <v>168</v>
      </c>
      <c r="F480" t="s">
        <v>435</v>
      </c>
      <c r="G480">
        <v>-7400</v>
      </c>
      <c r="H480" t="s">
        <v>170</v>
      </c>
      <c r="I480" t="s">
        <v>171</v>
      </c>
    </row>
    <row r="481" spans="1:9">
      <c r="A481" s="50">
        <v>46015</v>
      </c>
      <c r="B481" s="51">
        <v>0.5756250000000001</v>
      </c>
      <c r="C481" t="s">
        <v>167</v>
      </c>
      <c r="D481" t="s">
        <v>47</v>
      </c>
      <c r="E481" t="s">
        <v>183</v>
      </c>
      <c r="F481" t="s">
        <v>436</v>
      </c>
      <c r="G481">
        <v>-59000</v>
      </c>
      <c r="H481" t="s">
        <v>170</v>
      </c>
      <c r="I481" t="s">
        <v>171</v>
      </c>
    </row>
    <row r="482" spans="1:9">
      <c r="A482" s="50">
        <v>46015</v>
      </c>
      <c r="B482" s="51">
        <v>0.5494907407407408</v>
      </c>
      <c r="C482" t="s">
        <v>167</v>
      </c>
      <c r="D482" t="s">
        <v>40</v>
      </c>
      <c r="E482" t="s">
        <v>437</v>
      </c>
      <c r="F482" t="s">
        <v>438</v>
      </c>
      <c r="G482">
        <v>-5000</v>
      </c>
      <c r="H482" t="s">
        <v>170</v>
      </c>
      <c r="I482" t="s">
        <v>171</v>
      </c>
    </row>
    <row r="483" spans="1:9">
      <c r="A483" s="50">
        <v>46015</v>
      </c>
      <c r="B483" s="51">
        <v>0.4812847222222222</v>
      </c>
      <c r="C483" t="s">
        <v>167</v>
      </c>
      <c r="D483" t="s">
        <v>32</v>
      </c>
      <c r="E483" t="s">
        <v>439</v>
      </c>
      <c r="F483" t="s">
        <v>440</v>
      </c>
      <c r="G483">
        <v>-2000</v>
      </c>
      <c r="H483" t="s">
        <v>170</v>
      </c>
      <c r="I483" t="s">
        <v>171</v>
      </c>
    </row>
    <row r="484" spans="1:9">
      <c r="A484" s="50">
        <v>46015</v>
      </c>
      <c r="B484" s="51">
        <v>0.4809259259259259</v>
      </c>
      <c r="C484" t="s">
        <v>167</v>
      </c>
      <c r="D484" t="s">
        <v>32</v>
      </c>
      <c r="E484" t="s">
        <v>439</v>
      </c>
      <c r="F484" t="s">
        <v>440</v>
      </c>
      <c r="G484">
        <v>-28500</v>
      </c>
      <c r="H484" t="s">
        <v>170</v>
      </c>
      <c r="I484" t="s">
        <v>171</v>
      </c>
    </row>
    <row r="485" spans="1:9">
      <c r="A485" s="50">
        <v>46015</v>
      </c>
      <c r="B485" s="51">
        <v>0.4766898148148148</v>
      </c>
      <c r="C485" t="s">
        <v>233</v>
      </c>
      <c r="D485" t="s">
        <v>29</v>
      </c>
      <c r="E485" t="s">
        <v>173</v>
      </c>
      <c r="F485" t="s">
        <v>286</v>
      </c>
      <c r="G485">
        <v>3157600</v>
      </c>
      <c r="H485" t="s">
        <v>170</v>
      </c>
      <c r="I485" t="s">
        <v>59</v>
      </c>
    </row>
    <row r="486" spans="1:9">
      <c r="A486" s="50">
        <v>46015</v>
      </c>
      <c r="B486" s="51">
        <v>0.4765856481481481</v>
      </c>
      <c r="C486" t="s">
        <v>167</v>
      </c>
      <c r="D486" t="s">
        <v>43</v>
      </c>
      <c r="E486" t="s">
        <v>203</v>
      </c>
      <c r="F486" t="s">
        <v>441</v>
      </c>
      <c r="G486">
        <v>-3000</v>
      </c>
      <c r="H486" t="s">
        <v>170</v>
      </c>
      <c r="I486" t="s">
        <v>171</v>
      </c>
    </row>
    <row r="487" spans="1:9">
      <c r="A487" s="50">
        <v>46015</v>
      </c>
      <c r="B487" s="51">
        <v>0</v>
      </c>
      <c r="C487" t="s">
        <v>167</v>
      </c>
      <c r="D487" t="s">
        <v>33</v>
      </c>
      <c r="E487" t="s">
        <v>385</v>
      </c>
      <c r="F487" t="s">
        <v>386</v>
      </c>
      <c r="G487">
        <v>59800</v>
      </c>
      <c r="H487" t="s">
        <v>170</v>
      </c>
      <c r="I487" t="s">
        <v>237</v>
      </c>
    </row>
    <row r="488" spans="1:9">
      <c r="A488" s="50">
        <v>46014</v>
      </c>
      <c r="B488" s="51">
        <v>0.8490509259259259</v>
      </c>
      <c r="C488" t="s">
        <v>167</v>
      </c>
      <c r="D488" t="s">
        <v>42</v>
      </c>
      <c r="E488" t="s">
        <v>442</v>
      </c>
      <c r="F488" t="s">
        <v>443</v>
      </c>
      <c r="G488">
        <v>-62510</v>
      </c>
      <c r="H488" t="s">
        <v>170</v>
      </c>
      <c r="I488" t="s">
        <v>187</v>
      </c>
    </row>
    <row r="489" spans="1:9">
      <c r="A489" s="50">
        <v>46014</v>
      </c>
      <c r="B489" s="51">
        <v>0.5270486111111111</v>
      </c>
      <c r="C489" t="s">
        <v>167</v>
      </c>
      <c r="D489" t="s">
        <v>40</v>
      </c>
      <c r="E489" t="s">
        <v>193</v>
      </c>
      <c r="F489" t="s">
        <v>194</v>
      </c>
      <c r="G489">
        <v>-7500</v>
      </c>
      <c r="H489" t="s">
        <v>170</v>
      </c>
      <c r="I489" t="s">
        <v>171</v>
      </c>
    </row>
    <row r="490" spans="1:9">
      <c r="A490" s="50">
        <v>46013</v>
      </c>
      <c r="B490" s="51">
        <v>0.9203472222222222</v>
      </c>
      <c r="C490" t="s">
        <v>172</v>
      </c>
      <c r="D490" t="s">
        <v>195</v>
      </c>
      <c r="E490" t="s">
        <v>173</v>
      </c>
      <c r="F490" t="s">
        <v>264</v>
      </c>
      <c r="G490">
        <v>10000</v>
      </c>
      <c r="H490" t="s">
        <v>170</v>
      </c>
      <c r="I490" t="s">
        <v>175</v>
      </c>
    </row>
    <row r="491" spans="1:9">
      <c r="A491" s="50">
        <v>46013</v>
      </c>
      <c r="B491" s="51">
        <v>0.9203472222222222</v>
      </c>
      <c r="C491" t="s">
        <v>167</v>
      </c>
      <c r="D491" t="s">
        <v>35</v>
      </c>
      <c r="E491" t="s">
        <v>360</v>
      </c>
      <c r="F491" t="s">
        <v>252</v>
      </c>
      <c r="G491">
        <v>-6080</v>
      </c>
      <c r="H491" t="s">
        <v>170</v>
      </c>
      <c r="I491" t="s">
        <v>253</v>
      </c>
    </row>
    <row r="492" spans="1:9">
      <c r="A492" s="50">
        <v>46013</v>
      </c>
      <c r="B492" s="51">
        <v>0.9203472222222222</v>
      </c>
      <c r="C492" t="s">
        <v>172</v>
      </c>
      <c r="D492" t="s">
        <v>195</v>
      </c>
      <c r="E492" t="s">
        <v>173</v>
      </c>
      <c r="F492" t="s">
        <v>265</v>
      </c>
      <c r="G492">
        <v>-10000</v>
      </c>
      <c r="H492" t="s">
        <v>170</v>
      </c>
      <c r="I492" t="s">
        <v>61</v>
      </c>
    </row>
    <row r="493" spans="1:9">
      <c r="A493" s="50">
        <v>46013</v>
      </c>
      <c r="B493" s="51">
        <v>0.5605092592592592</v>
      </c>
      <c r="C493" t="s">
        <v>167</v>
      </c>
      <c r="D493" t="s">
        <v>40</v>
      </c>
      <c r="E493" t="s">
        <v>176</v>
      </c>
      <c r="F493" t="s">
        <v>421</v>
      </c>
      <c r="G493">
        <v>-13000</v>
      </c>
      <c r="H493" t="s">
        <v>170</v>
      </c>
      <c r="I493" t="s">
        <v>171</v>
      </c>
    </row>
    <row r="494" spans="1:9">
      <c r="A494" s="50">
        <v>46013</v>
      </c>
      <c r="B494" s="51">
        <v>0.5339351851851852</v>
      </c>
      <c r="C494" t="s">
        <v>172</v>
      </c>
      <c r="D494" t="s">
        <v>172</v>
      </c>
      <c r="E494" t="s">
        <v>173</v>
      </c>
      <c r="F494" t="s">
        <v>444</v>
      </c>
      <c r="G494">
        <v>6128976</v>
      </c>
      <c r="H494" t="s">
        <v>170</v>
      </c>
      <c r="I494" t="s">
        <v>68</v>
      </c>
    </row>
    <row r="495" spans="1:9">
      <c r="A495" s="50">
        <v>46012</v>
      </c>
      <c r="B495" s="51">
        <v>0.7053819444444445</v>
      </c>
      <c r="C495" t="s">
        <v>167</v>
      </c>
      <c r="D495" t="s">
        <v>33</v>
      </c>
      <c r="E495" t="s">
        <v>385</v>
      </c>
      <c r="F495" t="s">
        <v>386</v>
      </c>
      <c r="G495">
        <v>-59800</v>
      </c>
      <c r="H495" t="s">
        <v>170</v>
      </c>
      <c r="I495" t="s">
        <v>237</v>
      </c>
    </row>
    <row r="496" spans="1:9">
      <c r="A496" s="50">
        <v>46012</v>
      </c>
      <c r="B496" s="51">
        <v>0.5559259259259259</v>
      </c>
      <c r="C496" t="s">
        <v>167</v>
      </c>
      <c r="D496" t="s">
        <v>46</v>
      </c>
      <c r="E496" t="s">
        <v>168</v>
      </c>
      <c r="F496" t="s">
        <v>418</v>
      </c>
      <c r="G496">
        <v>-2300</v>
      </c>
      <c r="H496" t="s">
        <v>170</v>
      </c>
      <c r="I496" t="s">
        <v>171</v>
      </c>
    </row>
    <row r="497" spans="1:9">
      <c r="A497" s="50">
        <v>46012</v>
      </c>
      <c r="B497" s="51">
        <v>0.5546064814814815</v>
      </c>
      <c r="C497" t="s">
        <v>167</v>
      </c>
      <c r="D497" t="s">
        <v>46</v>
      </c>
      <c r="E497" t="s">
        <v>423</v>
      </c>
      <c r="F497" t="s">
        <v>424</v>
      </c>
      <c r="G497">
        <v>-5500</v>
      </c>
      <c r="H497" t="s">
        <v>170</v>
      </c>
      <c r="I497" t="s">
        <v>171</v>
      </c>
    </row>
    <row r="498" spans="1:9">
      <c r="A498" s="50">
        <v>46011</v>
      </c>
      <c r="B498" s="51">
        <v>0.8002546296296297</v>
      </c>
      <c r="C498" t="s">
        <v>167</v>
      </c>
      <c r="D498" t="s">
        <v>35</v>
      </c>
      <c r="E498" t="s">
        <v>360</v>
      </c>
      <c r="F498" t="s">
        <v>252</v>
      </c>
      <c r="G498">
        <v>-11700</v>
      </c>
      <c r="H498" t="s">
        <v>170</v>
      </c>
      <c r="I498" t="s">
        <v>253</v>
      </c>
    </row>
    <row r="499" spans="1:9">
      <c r="A499" s="50">
        <v>46011</v>
      </c>
      <c r="B499" s="51">
        <v>0.6745023148148148</v>
      </c>
      <c r="C499" t="s">
        <v>167</v>
      </c>
      <c r="D499" t="s">
        <v>38</v>
      </c>
      <c r="E499" t="s">
        <v>181</v>
      </c>
      <c r="F499" t="s">
        <v>192</v>
      </c>
      <c r="G499">
        <v>-1800</v>
      </c>
      <c r="H499" t="s">
        <v>170</v>
      </c>
      <c r="I499" t="s">
        <v>171</v>
      </c>
    </row>
    <row r="500" spans="1:9">
      <c r="A500" s="50">
        <v>46011</v>
      </c>
      <c r="B500" s="51">
        <v>0.6602662037037037</v>
      </c>
      <c r="C500" t="s">
        <v>167</v>
      </c>
      <c r="D500" t="s">
        <v>46</v>
      </c>
      <c r="E500" t="s">
        <v>405</v>
      </c>
      <c r="F500" t="s">
        <v>406</v>
      </c>
      <c r="G500">
        <v>-4000</v>
      </c>
      <c r="H500" t="s">
        <v>170</v>
      </c>
      <c r="I500" t="s">
        <v>171</v>
      </c>
    </row>
    <row r="501" spans="1:9">
      <c r="A501" s="50">
        <v>46011</v>
      </c>
      <c r="B501" s="51">
        <v>0.6576967592592593</v>
      </c>
      <c r="C501" t="s">
        <v>167</v>
      </c>
      <c r="D501" t="s">
        <v>34</v>
      </c>
      <c r="E501" t="s">
        <v>208</v>
      </c>
      <c r="F501" t="s">
        <v>308</v>
      </c>
      <c r="G501">
        <v>-23000</v>
      </c>
      <c r="H501" t="s">
        <v>170</v>
      </c>
      <c r="I501" t="s">
        <v>237</v>
      </c>
    </row>
    <row r="502" spans="1:9">
      <c r="A502" s="50">
        <v>46011</v>
      </c>
      <c r="B502" s="51">
        <v>0.5563194444444445</v>
      </c>
      <c r="C502" t="s">
        <v>167</v>
      </c>
      <c r="D502" t="s">
        <v>46</v>
      </c>
      <c r="E502" t="s">
        <v>219</v>
      </c>
      <c r="F502" t="s">
        <v>445</v>
      </c>
      <c r="G502">
        <v>-3900</v>
      </c>
      <c r="H502" t="s">
        <v>170</v>
      </c>
      <c r="I502" t="s">
        <v>171</v>
      </c>
    </row>
    <row r="503" spans="1:9">
      <c r="A503" s="50">
        <v>46011</v>
      </c>
      <c r="B503" s="51">
        <v>0.4550694444444445</v>
      </c>
      <c r="C503" t="s">
        <v>233</v>
      </c>
      <c r="D503" t="s">
        <v>28</v>
      </c>
      <c r="E503" t="s">
        <v>173</v>
      </c>
      <c r="F503" t="s">
        <v>291</v>
      </c>
      <c r="G503">
        <v>906</v>
      </c>
      <c r="H503" t="s">
        <v>170</v>
      </c>
      <c r="I503" t="s">
        <v>61</v>
      </c>
    </row>
    <row r="504" spans="1:9">
      <c r="A504" s="50">
        <v>46010</v>
      </c>
      <c r="B504" s="51">
        <v>0.9797685185185185</v>
      </c>
      <c r="C504" t="s">
        <v>167</v>
      </c>
      <c r="D504" t="s">
        <v>35</v>
      </c>
      <c r="E504" t="s">
        <v>360</v>
      </c>
      <c r="F504" t="s">
        <v>446</v>
      </c>
      <c r="G504">
        <v>-13900</v>
      </c>
      <c r="H504" t="s">
        <v>170</v>
      </c>
      <c r="I504" t="s">
        <v>253</v>
      </c>
    </row>
    <row r="505" spans="1:9">
      <c r="A505" s="50">
        <v>46010</v>
      </c>
      <c r="B505" s="51">
        <v>0.9796412037037037</v>
      </c>
      <c r="C505" t="s">
        <v>172</v>
      </c>
      <c r="D505" t="s">
        <v>172</v>
      </c>
      <c r="E505" t="s">
        <v>173</v>
      </c>
      <c r="F505" t="s">
        <v>265</v>
      </c>
      <c r="G505">
        <v>-13900</v>
      </c>
      <c r="H505" t="s">
        <v>170</v>
      </c>
      <c r="I505" t="s">
        <v>61</v>
      </c>
    </row>
    <row r="506" spans="1:9">
      <c r="A506" s="50">
        <v>46010</v>
      </c>
      <c r="B506" s="51">
        <v>0.8269212962962963</v>
      </c>
      <c r="C506" t="s">
        <v>167</v>
      </c>
      <c r="D506" t="s">
        <v>38</v>
      </c>
      <c r="E506" t="s">
        <v>181</v>
      </c>
      <c r="F506" t="s">
        <v>192</v>
      </c>
      <c r="G506">
        <v>-12000</v>
      </c>
      <c r="H506" t="s">
        <v>170</v>
      </c>
      <c r="I506" t="s">
        <v>171</v>
      </c>
    </row>
    <row r="507" spans="1:9">
      <c r="A507" s="50">
        <v>46010</v>
      </c>
      <c r="B507" s="51">
        <v>0.6118981481481481</v>
      </c>
      <c r="C507" t="s">
        <v>167</v>
      </c>
      <c r="D507" t="s">
        <v>45</v>
      </c>
      <c r="E507" t="s">
        <v>185</v>
      </c>
      <c r="F507" t="s">
        <v>186</v>
      </c>
      <c r="G507">
        <v>-36080</v>
      </c>
      <c r="H507" t="s">
        <v>170</v>
      </c>
      <c r="I507" t="s">
        <v>187</v>
      </c>
    </row>
    <row r="508" spans="1:9">
      <c r="A508" s="50">
        <v>46010</v>
      </c>
      <c r="B508" s="51">
        <v>0.3786689814814815</v>
      </c>
      <c r="C508" t="s">
        <v>167</v>
      </c>
      <c r="D508" t="s">
        <v>35</v>
      </c>
      <c r="E508" t="s">
        <v>225</v>
      </c>
      <c r="F508" t="s">
        <v>226</v>
      </c>
      <c r="G508">
        <v>-3500</v>
      </c>
      <c r="H508" t="s">
        <v>170</v>
      </c>
      <c r="I508" t="s">
        <v>171</v>
      </c>
    </row>
    <row r="509" spans="1:9">
      <c r="A509" s="50">
        <v>46009</v>
      </c>
      <c r="B509" s="51">
        <v>0.5273611111111111</v>
      </c>
      <c r="C509" t="s">
        <v>167</v>
      </c>
      <c r="D509" t="s">
        <v>40</v>
      </c>
      <c r="E509" t="s">
        <v>324</v>
      </c>
      <c r="F509" t="s">
        <v>325</v>
      </c>
      <c r="G509">
        <v>-9900</v>
      </c>
      <c r="H509" t="s">
        <v>170</v>
      </c>
      <c r="I509" t="s">
        <v>171</v>
      </c>
    </row>
    <row r="510" spans="1:9">
      <c r="A510" s="50">
        <v>46008</v>
      </c>
      <c r="B510" s="51">
        <v>0.3362962962962963</v>
      </c>
      <c r="C510" t="s">
        <v>167</v>
      </c>
      <c r="D510" t="s">
        <v>38</v>
      </c>
      <c r="E510" t="s">
        <v>288</v>
      </c>
      <c r="F510" t="s">
        <v>447</v>
      </c>
      <c r="G510">
        <v>-3400</v>
      </c>
      <c r="H510" t="s">
        <v>170</v>
      </c>
      <c r="I510" t="s">
        <v>171</v>
      </c>
    </row>
    <row r="511" spans="1:9">
      <c r="A511" s="50">
        <v>46008</v>
      </c>
      <c r="B511" s="51">
        <v>0</v>
      </c>
      <c r="C511" t="s">
        <v>167</v>
      </c>
      <c r="D511" t="s">
        <v>33</v>
      </c>
      <c r="E511" t="s">
        <v>385</v>
      </c>
      <c r="F511" t="s">
        <v>386</v>
      </c>
      <c r="G511">
        <v>29300</v>
      </c>
      <c r="H511" t="s">
        <v>170</v>
      </c>
      <c r="I511" t="s">
        <v>237</v>
      </c>
    </row>
    <row r="512" spans="1:9">
      <c r="A512" s="50">
        <v>46008</v>
      </c>
      <c r="B512" s="51">
        <v>0</v>
      </c>
      <c r="C512" t="s">
        <v>167</v>
      </c>
      <c r="D512" t="s">
        <v>33</v>
      </c>
      <c r="E512" t="s">
        <v>385</v>
      </c>
      <c r="F512" t="s">
        <v>386</v>
      </c>
      <c r="G512">
        <v>53500</v>
      </c>
      <c r="H512" t="s">
        <v>170</v>
      </c>
      <c r="I512" t="s">
        <v>237</v>
      </c>
    </row>
    <row r="513" spans="1:9">
      <c r="A513" s="50">
        <v>46007</v>
      </c>
      <c r="B513" s="51">
        <v>0.7779282407407407</v>
      </c>
      <c r="C513" t="s">
        <v>167</v>
      </c>
      <c r="D513" t="s">
        <v>38</v>
      </c>
      <c r="E513" t="s">
        <v>221</v>
      </c>
      <c r="F513" t="s">
        <v>222</v>
      </c>
      <c r="G513">
        <v>-3000</v>
      </c>
      <c r="H513" t="s">
        <v>170</v>
      </c>
      <c r="I513" t="s">
        <v>171</v>
      </c>
    </row>
    <row r="514" spans="1:9">
      <c r="A514" s="50">
        <v>46007</v>
      </c>
      <c r="B514" s="51">
        <v>0.5282060185185186</v>
      </c>
      <c r="C514" t="s">
        <v>167</v>
      </c>
      <c r="D514" t="s">
        <v>40</v>
      </c>
      <c r="E514" t="s">
        <v>244</v>
      </c>
      <c r="F514" t="s">
        <v>314</v>
      </c>
      <c r="G514">
        <v>-17400</v>
      </c>
      <c r="H514" t="s">
        <v>170</v>
      </c>
      <c r="I514" t="s">
        <v>171</v>
      </c>
    </row>
    <row r="515" spans="1:9">
      <c r="A515" s="50">
        <v>46006</v>
      </c>
      <c r="B515" s="51">
        <v>0.5297337962962962</v>
      </c>
      <c r="C515" t="s">
        <v>167</v>
      </c>
      <c r="D515" t="s">
        <v>40</v>
      </c>
      <c r="E515" t="s">
        <v>176</v>
      </c>
      <c r="F515" t="s">
        <v>317</v>
      </c>
      <c r="G515">
        <v>-11000</v>
      </c>
      <c r="H515" t="s">
        <v>170</v>
      </c>
      <c r="I515" t="s">
        <v>171</v>
      </c>
    </row>
    <row r="516" spans="1:9">
      <c r="A516" s="50">
        <v>46006</v>
      </c>
      <c r="B516" s="51">
        <v>0.1327199074074074</v>
      </c>
      <c r="C516" t="s">
        <v>172</v>
      </c>
      <c r="D516" t="s">
        <v>200</v>
      </c>
      <c r="E516" t="s">
        <v>173</v>
      </c>
      <c r="F516" t="s">
        <v>201</v>
      </c>
      <c r="G516">
        <v>-478863</v>
      </c>
      <c r="H516" t="s">
        <v>170</v>
      </c>
      <c r="I516" t="s">
        <v>61</v>
      </c>
    </row>
    <row r="517" spans="1:9">
      <c r="A517" s="50">
        <v>46005</v>
      </c>
      <c r="B517" s="51">
        <v>0.8108217592592593</v>
      </c>
      <c r="C517" t="s">
        <v>167</v>
      </c>
      <c r="D517" t="s">
        <v>34</v>
      </c>
      <c r="E517" t="s">
        <v>208</v>
      </c>
      <c r="F517" t="s">
        <v>448</v>
      </c>
      <c r="G517">
        <v>0</v>
      </c>
      <c r="H517" t="s">
        <v>170</v>
      </c>
      <c r="I517" t="s">
        <v>171</v>
      </c>
    </row>
    <row r="518" spans="1:9">
      <c r="A518" s="50">
        <v>46005</v>
      </c>
      <c r="B518" s="51">
        <v>0.6438773148148148</v>
      </c>
      <c r="C518" t="s">
        <v>172</v>
      </c>
      <c r="D518" t="s">
        <v>172</v>
      </c>
      <c r="E518" t="s">
        <v>173</v>
      </c>
      <c r="F518" t="s">
        <v>265</v>
      </c>
      <c r="G518">
        <v>-15000</v>
      </c>
      <c r="H518" t="s">
        <v>170</v>
      </c>
      <c r="I518" t="s">
        <v>61</v>
      </c>
    </row>
    <row r="519" spans="1:9">
      <c r="A519" s="50">
        <v>46005</v>
      </c>
      <c r="B519" s="51">
        <v>0.4872453703703704</v>
      </c>
      <c r="C519" t="s">
        <v>172</v>
      </c>
      <c r="D519" t="s">
        <v>190</v>
      </c>
      <c r="E519" t="s">
        <v>173</v>
      </c>
      <c r="F519" t="s">
        <v>449</v>
      </c>
      <c r="G519">
        <v>205</v>
      </c>
      <c r="H519" t="s">
        <v>170</v>
      </c>
      <c r="I519" t="s">
        <v>59</v>
      </c>
    </row>
    <row r="520" spans="1:9">
      <c r="A520" s="50">
        <v>46005</v>
      </c>
      <c r="B520" s="51">
        <v>0.4791550925925926</v>
      </c>
      <c r="C520" t="s">
        <v>172</v>
      </c>
      <c r="D520" t="s">
        <v>172</v>
      </c>
      <c r="E520" t="s">
        <v>173</v>
      </c>
      <c r="F520" t="s">
        <v>265</v>
      </c>
      <c r="G520">
        <v>-130195</v>
      </c>
      <c r="H520" t="s">
        <v>170</v>
      </c>
      <c r="I520" t="s">
        <v>61</v>
      </c>
    </row>
    <row r="521" spans="1:9">
      <c r="A521" s="50">
        <v>46005</v>
      </c>
      <c r="B521" s="51">
        <v>0.4262962962962963</v>
      </c>
      <c r="C521" t="s">
        <v>167</v>
      </c>
      <c r="D521" t="s">
        <v>34</v>
      </c>
      <c r="E521" t="s">
        <v>206</v>
      </c>
      <c r="F521" t="s">
        <v>450</v>
      </c>
      <c r="G521">
        <v>0</v>
      </c>
      <c r="H521" t="s">
        <v>170</v>
      </c>
      <c r="I521" t="s">
        <v>171</v>
      </c>
    </row>
    <row r="522" spans="1:9">
      <c r="A522" s="50">
        <v>46003</v>
      </c>
      <c r="B522" s="51">
        <v>0.6100347222222222</v>
      </c>
      <c r="C522" t="s">
        <v>167</v>
      </c>
      <c r="D522" t="s">
        <v>46</v>
      </c>
      <c r="E522" t="s">
        <v>219</v>
      </c>
      <c r="F522" t="s">
        <v>445</v>
      </c>
      <c r="G522">
        <v>-3900</v>
      </c>
      <c r="H522" t="s">
        <v>170</v>
      </c>
      <c r="I522" t="s">
        <v>171</v>
      </c>
    </row>
    <row r="523" spans="1:9">
      <c r="A523" s="50">
        <v>46003</v>
      </c>
      <c r="B523" s="51">
        <v>0.6093981481481482</v>
      </c>
      <c r="C523" t="s">
        <v>167</v>
      </c>
      <c r="D523" t="s">
        <v>38</v>
      </c>
      <c r="E523" t="s">
        <v>181</v>
      </c>
      <c r="F523" t="s">
        <v>192</v>
      </c>
      <c r="G523">
        <v>-2300</v>
      </c>
      <c r="H523" t="s">
        <v>170</v>
      </c>
      <c r="I523" t="s">
        <v>171</v>
      </c>
    </row>
    <row r="524" spans="1:9">
      <c r="A524" s="50">
        <v>46003</v>
      </c>
      <c r="B524" s="51">
        <v>0.002916666666666667</v>
      </c>
      <c r="C524" t="s">
        <v>167</v>
      </c>
      <c r="D524" t="s">
        <v>38</v>
      </c>
      <c r="E524" t="s">
        <v>181</v>
      </c>
      <c r="F524" t="s">
        <v>192</v>
      </c>
      <c r="G524">
        <v>-2200</v>
      </c>
      <c r="H524" t="s">
        <v>170</v>
      </c>
      <c r="I524" t="s">
        <v>171</v>
      </c>
    </row>
    <row r="525" spans="1:9">
      <c r="A525" s="50">
        <v>46002</v>
      </c>
      <c r="B525" s="51">
        <v>0.750625</v>
      </c>
      <c r="C525" t="s">
        <v>172</v>
      </c>
      <c r="D525" t="s">
        <v>195</v>
      </c>
      <c r="E525" t="s">
        <v>173</v>
      </c>
      <c r="F525" t="s">
        <v>7</v>
      </c>
      <c r="G525">
        <v>700000</v>
      </c>
      <c r="H525" t="s">
        <v>170</v>
      </c>
      <c r="I525" t="s">
        <v>67</v>
      </c>
    </row>
    <row r="526" spans="1:9">
      <c r="A526" s="50">
        <v>46002</v>
      </c>
      <c r="B526" s="51">
        <v>0.750625</v>
      </c>
      <c r="C526" t="s">
        <v>172</v>
      </c>
      <c r="D526" t="s">
        <v>195</v>
      </c>
      <c r="E526" t="s">
        <v>173</v>
      </c>
      <c r="F526" t="s">
        <v>451</v>
      </c>
      <c r="G526">
        <v>-700000</v>
      </c>
      <c r="H526" t="s">
        <v>170</v>
      </c>
      <c r="I526" t="s">
        <v>59</v>
      </c>
    </row>
    <row r="527" spans="1:9">
      <c r="A527" s="50">
        <v>46002</v>
      </c>
      <c r="B527" s="51">
        <v>0.3876388888888889</v>
      </c>
      <c r="C527" t="s">
        <v>167</v>
      </c>
      <c r="D527" t="s">
        <v>41</v>
      </c>
      <c r="E527" t="s">
        <v>452</v>
      </c>
      <c r="F527" t="s">
        <v>453</v>
      </c>
      <c r="G527">
        <v>-71060</v>
      </c>
      <c r="H527" t="s">
        <v>170</v>
      </c>
      <c r="I527" t="s">
        <v>253</v>
      </c>
    </row>
    <row r="528" spans="1:9">
      <c r="A528" s="50">
        <v>46002</v>
      </c>
      <c r="B528" s="51">
        <v>0.3874884259259259</v>
      </c>
      <c r="C528" t="s">
        <v>172</v>
      </c>
      <c r="D528" t="s">
        <v>172</v>
      </c>
      <c r="E528" t="s">
        <v>173</v>
      </c>
      <c r="F528" t="s">
        <v>265</v>
      </c>
      <c r="G528">
        <v>-71060</v>
      </c>
      <c r="H528" t="s">
        <v>170</v>
      </c>
      <c r="I528" t="s">
        <v>61</v>
      </c>
    </row>
    <row r="529" spans="1:9">
      <c r="A529" s="50">
        <v>46001</v>
      </c>
      <c r="B529" s="51">
        <v>0.5563310185185185</v>
      </c>
      <c r="C529" t="s">
        <v>167</v>
      </c>
      <c r="D529" t="s">
        <v>40</v>
      </c>
      <c r="E529" t="s">
        <v>176</v>
      </c>
      <c r="F529" t="s">
        <v>388</v>
      </c>
      <c r="G529">
        <v>-11000</v>
      </c>
      <c r="H529" t="s">
        <v>170</v>
      </c>
      <c r="I529" t="s">
        <v>171</v>
      </c>
    </row>
    <row r="530" spans="1:9">
      <c r="A530" s="50">
        <v>46001</v>
      </c>
      <c r="B530" s="51">
        <v>0.3351620370370371</v>
      </c>
      <c r="C530" t="s">
        <v>233</v>
      </c>
      <c r="D530" t="s">
        <v>30</v>
      </c>
      <c r="E530" t="s">
        <v>173</v>
      </c>
      <c r="F530" t="s">
        <v>454</v>
      </c>
      <c r="G530">
        <v>456000</v>
      </c>
      <c r="H530" t="s">
        <v>170</v>
      </c>
      <c r="I530" t="s">
        <v>61</v>
      </c>
    </row>
    <row r="531" spans="1:9">
      <c r="A531" s="50">
        <v>46001</v>
      </c>
      <c r="B531" s="51">
        <v>0.005717592592592593</v>
      </c>
      <c r="C531" t="s">
        <v>167</v>
      </c>
      <c r="D531" t="s">
        <v>42</v>
      </c>
      <c r="E531" t="s">
        <v>235</v>
      </c>
      <c r="F531" t="s">
        <v>242</v>
      </c>
      <c r="G531">
        <v>-11000</v>
      </c>
      <c r="H531" t="s">
        <v>170</v>
      </c>
      <c r="I531" t="s">
        <v>243</v>
      </c>
    </row>
    <row r="532" spans="1:9">
      <c r="A532" s="50">
        <v>46001</v>
      </c>
      <c r="B532" s="51">
        <v>0.002002314814814815</v>
      </c>
      <c r="C532" t="s">
        <v>167</v>
      </c>
      <c r="D532" t="s">
        <v>34</v>
      </c>
      <c r="E532" t="s">
        <v>208</v>
      </c>
      <c r="F532" t="s">
        <v>308</v>
      </c>
      <c r="G532">
        <v>-192070</v>
      </c>
      <c r="H532" t="s">
        <v>170</v>
      </c>
      <c r="I532" t="s">
        <v>237</v>
      </c>
    </row>
    <row r="533" spans="1:9">
      <c r="A533" s="50">
        <v>46001</v>
      </c>
      <c r="B533" s="51">
        <v>0.001747685185185185</v>
      </c>
      <c r="C533" t="s">
        <v>167</v>
      </c>
      <c r="D533" t="s">
        <v>42</v>
      </c>
      <c r="E533" t="s">
        <v>235</v>
      </c>
      <c r="F533" t="s">
        <v>455</v>
      </c>
      <c r="G533">
        <v>-4421</v>
      </c>
      <c r="H533" t="s">
        <v>170</v>
      </c>
      <c r="I533" t="s">
        <v>412</v>
      </c>
    </row>
    <row r="534" spans="1:9">
      <c r="A534" s="50">
        <v>46001</v>
      </c>
      <c r="B534" s="51">
        <v>0.001747685185185185</v>
      </c>
      <c r="C534" t="s">
        <v>167</v>
      </c>
      <c r="D534" t="s">
        <v>42</v>
      </c>
      <c r="E534" t="s">
        <v>235</v>
      </c>
      <c r="F534" t="s">
        <v>455</v>
      </c>
      <c r="G534">
        <v>-609</v>
      </c>
      <c r="H534" t="s">
        <v>170</v>
      </c>
      <c r="I534" t="s">
        <v>456</v>
      </c>
    </row>
    <row r="535" spans="1:9">
      <c r="A535" s="50">
        <v>46001</v>
      </c>
      <c r="B535" s="51">
        <v>0</v>
      </c>
      <c r="C535" t="s">
        <v>167</v>
      </c>
      <c r="D535" t="s">
        <v>33</v>
      </c>
      <c r="E535" t="s">
        <v>385</v>
      </c>
      <c r="F535" t="s">
        <v>386</v>
      </c>
      <c r="G535">
        <v>48800</v>
      </c>
      <c r="H535" t="s">
        <v>170</v>
      </c>
      <c r="I535" t="s">
        <v>237</v>
      </c>
    </row>
    <row r="536" spans="1:9">
      <c r="A536" s="50">
        <v>46001</v>
      </c>
      <c r="B536" s="51">
        <v>0</v>
      </c>
      <c r="C536" t="s">
        <v>167</v>
      </c>
      <c r="D536" t="s">
        <v>33</v>
      </c>
      <c r="E536" t="s">
        <v>385</v>
      </c>
      <c r="F536" t="s">
        <v>386</v>
      </c>
      <c r="G536">
        <v>59800</v>
      </c>
      <c r="H536" t="s">
        <v>170</v>
      </c>
      <c r="I536" t="s">
        <v>237</v>
      </c>
    </row>
    <row r="537" spans="1:9">
      <c r="A537" s="50">
        <v>46000</v>
      </c>
      <c r="B537" s="51">
        <v>0.7601736111111111</v>
      </c>
      <c r="C537" t="s">
        <v>167</v>
      </c>
      <c r="D537" t="s">
        <v>33</v>
      </c>
      <c r="E537" t="s">
        <v>385</v>
      </c>
      <c r="F537" t="s">
        <v>386</v>
      </c>
      <c r="G537">
        <v>-59400</v>
      </c>
      <c r="H537" t="s">
        <v>170</v>
      </c>
      <c r="I537" t="s">
        <v>237</v>
      </c>
    </row>
    <row r="538" spans="1:9">
      <c r="A538" s="50">
        <v>46000</v>
      </c>
      <c r="B538" s="51">
        <v>0.7585879629629629</v>
      </c>
      <c r="C538" t="s">
        <v>167</v>
      </c>
      <c r="D538" t="s">
        <v>33</v>
      </c>
      <c r="E538" t="s">
        <v>385</v>
      </c>
      <c r="F538" t="s">
        <v>386</v>
      </c>
      <c r="G538">
        <v>-59800</v>
      </c>
      <c r="H538" t="s">
        <v>170</v>
      </c>
      <c r="I538" t="s">
        <v>237</v>
      </c>
    </row>
    <row r="539" spans="1:9">
      <c r="A539" s="50">
        <v>46000</v>
      </c>
      <c r="B539" s="51">
        <v>0.5476157407407407</v>
      </c>
      <c r="C539" t="s">
        <v>167</v>
      </c>
      <c r="D539" t="s">
        <v>40</v>
      </c>
      <c r="E539" t="s">
        <v>176</v>
      </c>
      <c r="F539" t="s">
        <v>422</v>
      </c>
      <c r="G539">
        <v>-9900</v>
      </c>
      <c r="H539" t="s">
        <v>170</v>
      </c>
      <c r="I539" t="s">
        <v>171</v>
      </c>
    </row>
    <row r="540" spans="1:9">
      <c r="A540" s="50">
        <v>45999</v>
      </c>
      <c r="B540" s="51">
        <v>0.5513657407407407</v>
      </c>
      <c r="C540" t="s">
        <v>167</v>
      </c>
      <c r="D540" t="s">
        <v>40</v>
      </c>
      <c r="E540" t="s">
        <v>176</v>
      </c>
      <c r="F540" t="s">
        <v>457</v>
      </c>
      <c r="G540">
        <v>-11000</v>
      </c>
      <c r="H540" t="s">
        <v>170</v>
      </c>
      <c r="I540" t="s">
        <v>171</v>
      </c>
    </row>
    <row r="541" spans="1:9">
      <c r="A541" s="50">
        <v>45998</v>
      </c>
      <c r="B541" s="51">
        <v>0.5546527777777778</v>
      </c>
      <c r="C541" t="s">
        <v>167</v>
      </c>
      <c r="D541" t="s">
        <v>46</v>
      </c>
      <c r="E541" t="s">
        <v>168</v>
      </c>
      <c r="F541" t="s">
        <v>305</v>
      </c>
      <c r="G541">
        <v>-3000</v>
      </c>
      <c r="H541" t="s">
        <v>170</v>
      </c>
      <c r="I541" t="s">
        <v>171</v>
      </c>
    </row>
    <row r="542" spans="1:9">
      <c r="A542" s="50">
        <v>45998</v>
      </c>
      <c r="B542" s="51">
        <v>0.4390625</v>
      </c>
      <c r="C542" t="s">
        <v>167</v>
      </c>
      <c r="D542" t="s">
        <v>46</v>
      </c>
      <c r="E542" t="s">
        <v>423</v>
      </c>
      <c r="F542" t="s">
        <v>458</v>
      </c>
      <c r="G542">
        <v>-16500</v>
      </c>
      <c r="H542" t="s">
        <v>170</v>
      </c>
      <c r="I542" t="s">
        <v>171</v>
      </c>
    </row>
    <row r="543" spans="1:9">
      <c r="A543" s="50">
        <v>45997</v>
      </c>
      <c r="B543" s="51">
        <v>0.8450231481481482</v>
      </c>
      <c r="C543" t="s">
        <v>167</v>
      </c>
      <c r="D543" t="s">
        <v>46</v>
      </c>
      <c r="E543" t="s">
        <v>423</v>
      </c>
      <c r="F543" t="s">
        <v>458</v>
      </c>
      <c r="G543">
        <v>-7600</v>
      </c>
      <c r="H543" t="s">
        <v>170</v>
      </c>
      <c r="I543" t="s">
        <v>171</v>
      </c>
    </row>
    <row r="544" spans="1:9">
      <c r="A544" s="50">
        <v>45997</v>
      </c>
      <c r="B544" s="51">
        <v>0.8398726851851852</v>
      </c>
      <c r="C544" t="s">
        <v>167</v>
      </c>
      <c r="D544" t="s">
        <v>43</v>
      </c>
      <c r="E544" t="s">
        <v>203</v>
      </c>
      <c r="F544" t="s">
        <v>459</v>
      </c>
      <c r="G544">
        <v>-3000</v>
      </c>
      <c r="H544" t="s">
        <v>170</v>
      </c>
      <c r="I544" t="s">
        <v>171</v>
      </c>
    </row>
    <row r="545" spans="1:9">
      <c r="A545" s="50">
        <v>45997</v>
      </c>
      <c r="B545" s="51">
        <v>0.8388657407407407</v>
      </c>
      <c r="C545" t="s">
        <v>167</v>
      </c>
      <c r="D545" t="s">
        <v>38</v>
      </c>
      <c r="E545" t="s">
        <v>181</v>
      </c>
      <c r="F545" t="s">
        <v>460</v>
      </c>
      <c r="G545">
        <v>-5200</v>
      </c>
      <c r="H545" t="s">
        <v>170</v>
      </c>
      <c r="I545" t="s">
        <v>171</v>
      </c>
    </row>
    <row r="546" spans="1:9">
      <c r="A546" s="50">
        <v>45997</v>
      </c>
      <c r="B546" s="51">
        <v>0.8360300925925926</v>
      </c>
      <c r="C546" t="s">
        <v>167</v>
      </c>
      <c r="D546" t="s">
        <v>40</v>
      </c>
      <c r="E546" t="s">
        <v>383</v>
      </c>
      <c r="F546" t="s">
        <v>461</v>
      </c>
      <c r="G546">
        <v>-44500</v>
      </c>
      <c r="H546" t="s">
        <v>170</v>
      </c>
      <c r="I546" t="s">
        <v>171</v>
      </c>
    </row>
    <row r="547" spans="1:9">
      <c r="A547" s="50">
        <v>45997</v>
      </c>
      <c r="B547" s="51">
        <v>0.7251504629629629</v>
      </c>
      <c r="C547" t="s">
        <v>167</v>
      </c>
      <c r="D547" t="s">
        <v>46</v>
      </c>
      <c r="E547" t="s">
        <v>405</v>
      </c>
      <c r="F547" t="s">
        <v>462</v>
      </c>
      <c r="G547">
        <v>-24000</v>
      </c>
      <c r="H547" t="s">
        <v>170</v>
      </c>
      <c r="I547" t="s">
        <v>171</v>
      </c>
    </row>
    <row r="548" spans="1:9">
      <c r="A548" s="50">
        <v>45997</v>
      </c>
      <c r="B548" s="51">
        <v>0.7048032407407407</v>
      </c>
      <c r="C548" t="s">
        <v>167</v>
      </c>
      <c r="D548" t="s">
        <v>35</v>
      </c>
      <c r="E548" t="s">
        <v>360</v>
      </c>
      <c r="F548" t="s">
        <v>463</v>
      </c>
      <c r="G548">
        <v>-3000</v>
      </c>
      <c r="H548" t="s">
        <v>170</v>
      </c>
      <c r="I548" t="s">
        <v>171</v>
      </c>
    </row>
    <row r="549" spans="1:9">
      <c r="A549" s="50">
        <v>45997</v>
      </c>
      <c r="B549" s="51">
        <v>0.6976273148148148</v>
      </c>
      <c r="C549" t="s">
        <v>167</v>
      </c>
      <c r="D549" t="s">
        <v>46</v>
      </c>
      <c r="E549" t="s">
        <v>423</v>
      </c>
      <c r="F549" t="s">
        <v>464</v>
      </c>
      <c r="G549">
        <v>-20300</v>
      </c>
      <c r="H549" t="s">
        <v>170</v>
      </c>
      <c r="I549" t="s">
        <v>171</v>
      </c>
    </row>
    <row r="550" spans="1:9">
      <c r="A550" s="50">
        <v>45997</v>
      </c>
      <c r="B550" s="51">
        <v>0.5567129629629629</v>
      </c>
      <c r="C550" t="s">
        <v>167</v>
      </c>
      <c r="D550" t="s">
        <v>38</v>
      </c>
      <c r="E550" t="s">
        <v>181</v>
      </c>
      <c r="F550" t="s">
        <v>465</v>
      </c>
      <c r="G550">
        <v>-4100</v>
      </c>
      <c r="H550" t="s">
        <v>170</v>
      </c>
      <c r="I550" t="s">
        <v>171</v>
      </c>
    </row>
    <row r="551" spans="1:9">
      <c r="A551" s="50">
        <v>45997</v>
      </c>
      <c r="B551" s="51">
        <v>0.5554282407407407</v>
      </c>
      <c r="C551" t="s">
        <v>167</v>
      </c>
      <c r="D551" t="s">
        <v>40</v>
      </c>
      <c r="E551" t="s">
        <v>244</v>
      </c>
      <c r="F551" t="s">
        <v>466</v>
      </c>
      <c r="G551">
        <v>-10400</v>
      </c>
      <c r="H551" t="s">
        <v>170</v>
      </c>
      <c r="I551" t="s">
        <v>171</v>
      </c>
    </row>
    <row r="552" spans="1:9">
      <c r="A552" s="50">
        <v>45996</v>
      </c>
      <c r="B552" s="51">
        <v>0.8674884259259259</v>
      </c>
      <c r="C552" t="s">
        <v>167</v>
      </c>
      <c r="D552" t="s">
        <v>42</v>
      </c>
      <c r="E552" t="s">
        <v>188</v>
      </c>
      <c r="F552" t="s">
        <v>231</v>
      </c>
      <c r="G552">
        <v>-14900</v>
      </c>
      <c r="H552" t="s">
        <v>170</v>
      </c>
      <c r="I552" t="s">
        <v>187</v>
      </c>
    </row>
    <row r="553" spans="1:9">
      <c r="A553" s="50">
        <v>45996</v>
      </c>
      <c r="B553" s="51">
        <v>0.5479166666666667</v>
      </c>
      <c r="C553" t="s">
        <v>167</v>
      </c>
      <c r="D553" t="s">
        <v>35</v>
      </c>
      <c r="E553" t="s">
        <v>225</v>
      </c>
      <c r="F553" t="s">
        <v>226</v>
      </c>
      <c r="G553">
        <v>-3500</v>
      </c>
      <c r="H553" t="s">
        <v>170</v>
      </c>
      <c r="I553" t="s">
        <v>171</v>
      </c>
    </row>
    <row r="554" spans="1:9">
      <c r="A554" s="50">
        <v>45996</v>
      </c>
      <c r="B554" s="51">
        <v>0.5257175925925925</v>
      </c>
      <c r="C554" t="s">
        <v>167</v>
      </c>
      <c r="D554" t="s">
        <v>40</v>
      </c>
      <c r="E554" t="s">
        <v>193</v>
      </c>
      <c r="F554" t="s">
        <v>194</v>
      </c>
      <c r="G554">
        <v>-7500</v>
      </c>
      <c r="H554" t="s">
        <v>170</v>
      </c>
      <c r="I554" t="s">
        <v>171</v>
      </c>
    </row>
    <row r="555" spans="1:9">
      <c r="A555" s="50">
        <v>45996</v>
      </c>
      <c r="B555" s="51">
        <v>0.4441435185185185</v>
      </c>
      <c r="C555" t="s">
        <v>167</v>
      </c>
      <c r="D555" t="s">
        <v>42</v>
      </c>
      <c r="E555" t="s">
        <v>188</v>
      </c>
      <c r="F555" t="s">
        <v>320</v>
      </c>
      <c r="G555">
        <v>-7890</v>
      </c>
      <c r="H555" t="s">
        <v>170</v>
      </c>
      <c r="I555" t="s">
        <v>243</v>
      </c>
    </row>
    <row r="556" spans="1:9">
      <c r="A556" s="50">
        <v>45996</v>
      </c>
      <c r="B556" s="51">
        <v>0.3374768518518518</v>
      </c>
      <c r="C556" t="s">
        <v>167</v>
      </c>
      <c r="D556" t="s">
        <v>35</v>
      </c>
      <c r="E556" t="s">
        <v>197</v>
      </c>
      <c r="F556" t="s">
        <v>198</v>
      </c>
      <c r="G556">
        <v>-12000</v>
      </c>
      <c r="H556" t="s">
        <v>170</v>
      </c>
      <c r="I556" t="s">
        <v>199</v>
      </c>
    </row>
    <row r="557" spans="1:9">
      <c r="A557" s="50">
        <v>45995</v>
      </c>
      <c r="B557" s="51">
        <v>0.06688657407407407</v>
      </c>
      <c r="C557" t="s">
        <v>167</v>
      </c>
      <c r="D557" t="s">
        <v>42</v>
      </c>
      <c r="E557" t="s">
        <v>188</v>
      </c>
      <c r="F557" t="s">
        <v>252</v>
      </c>
      <c r="G557">
        <v>-13500</v>
      </c>
      <c r="H557" t="s">
        <v>170</v>
      </c>
      <c r="I557" t="s">
        <v>253</v>
      </c>
    </row>
    <row r="558" spans="1:9">
      <c r="A558" s="50">
        <v>45994</v>
      </c>
      <c r="B558" s="51">
        <v>0.8912037037037037</v>
      </c>
      <c r="C558" t="s">
        <v>167</v>
      </c>
      <c r="D558" t="s">
        <v>43</v>
      </c>
      <c r="E558" t="s">
        <v>179</v>
      </c>
      <c r="F558" t="s">
        <v>467</v>
      </c>
      <c r="G558">
        <v>-396000</v>
      </c>
      <c r="H558" t="s">
        <v>170</v>
      </c>
      <c r="I558" t="s">
        <v>171</v>
      </c>
    </row>
    <row r="559" spans="1:9">
      <c r="A559" s="50">
        <v>45994</v>
      </c>
      <c r="B559" s="51">
        <v>0.5520486111111111</v>
      </c>
      <c r="C559" t="s">
        <v>167</v>
      </c>
      <c r="D559" t="s">
        <v>35</v>
      </c>
      <c r="E559" t="s">
        <v>225</v>
      </c>
      <c r="F559" t="s">
        <v>226</v>
      </c>
      <c r="G559">
        <v>-3500</v>
      </c>
      <c r="H559" t="s">
        <v>170</v>
      </c>
      <c r="I559" t="s">
        <v>171</v>
      </c>
    </row>
    <row r="560" spans="1:9">
      <c r="A560" s="50">
        <v>45994</v>
      </c>
      <c r="B560" s="51">
        <v>0.5282523148148148</v>
      </c>
      <c r="C560" t="s">
        <v>167</v>
      </c>
      <c r="D560" t="s">
        <v>40</v>
      </c>
      <c r="E560" t="s">
        <v>244</v>
      </c>
      <c r="F560" t="s">
        <v>314</v>
      </c>
      <c r="G560">
        <v>-17400</v>
      </c>
      <c r="H560" t="s">
        <v>170</v>
      </c>
      <c r="I560" t="s">
        <v>171</v>
      </c>
    </row>
    <row r="561" spans="1:9">
      <c r="A561" s="50">
        <v>45994</v>
      </c>
      <c r="B561" s="51">
        <v>0.424849537037037</v>
      </c>
      <c r="C561" t="s">
        <v>167</v>
      </c>
      <c r="D561" t="s">
        <v>42</v>
      </c>
      <c r="E561" t="s">
        <v>188</v>
      </c>
      <c r="F561" t="s">
        <v>256</v>
      </c>
      <c r="G561">
        <v>-2990</v>
      </c>
      <c r="H561" t="s">
        <v>170</v>
      </c>
      <c r="I561" t="s">
        <v>237</v>
      </c>
    </row>
    <row r="562" spans="1:9">
      <c r="A562" s="50">
        <v>45993</v>
      </c>
      <c r="B562" s="51">
        <v>0.9690740740740741</v>
      </c>
      <c r="C562" t="s">
        <v>167</v>
      </c>
      <c r="D562" t="s">
        <v>41</v>
      </c>
      <c r="E562" t="s">
        <v>452</v>
      </c>
      <c r="F562" t="s">
        <v>453</v>
      </c>
      <c r="G562">
        <v>-110600</v>
      </c>
      <c r="H562" t="s">
        <v>170</v>
      </c>
      <c r="I562" t="s">
        <v>253</v>
      </c>
    </row>
    <row r="563" spans="1:9">
      <c r="A563" s="50">
        <v>45993</v>
      </c>
      <c r="B563" s="51">
        <v>0.9690046296296296</v>
      </c>
      <c r="C563" t="s">
        <v>172</v>
      </c>
      <c r="D563" t="s">
        <v>172</v>
      </c>
      <c r="E563" t="s">
        <v>173</v>
      </c>
      <c r="F563" t="s">
        <v>265</v>
      </c>
      <c r="G563">
        <v>-110600</v>
      </c>
      <c r="H563" t="s">
        <v>170</v>
      </c>
      <c r="I563" t="s">
        <v>61</v>
      </c>
    </row>
    <row r="564" spans="1:9">
      <c r="A564" s="50">
        <v>45993</v>
      </c>
      <c r="B564" s="51">
        <v>0.7768171296296297</v>
      </c>
      <c r="C564" t="s">
        <v>167</v>
      </c>
      <c r="D564" t="s">
        <v>38</v>
      </c>
      <c r="E564" t="s">
        <v>181</v>
      </c>
      <c r="F564" t="s">
        <v>192</v>
      </c>
      <c r="G564">
        <v>-11000</v>
      </c>
      <c r="H564" t="s">
        <v>170</v>
      </c>
      <c r="I564" t="s">
        <v>171</v>
      </c>
    </row>
    <row r="565" spans="1:9">
      <c r="A565" s="50">
        <v>45993</v>
      </c>
      <c r="B565" s="51">
        <v>0.5250115740740741</v>
      </c>
      <c r="C565" t="s">
        <v>167</v>
      </c>
      <c r="D565" t="s">
        <v>40</v>
      </c>
      <c r="E565" t="s">
        <v>193</v>
      </c>
      <c r="F565" t="s">
        <v>194</v>
      </c>
      <c r="G565">
        <v>-7500</v>
      </c>
      <c r="H565" t="s">
        <v>170</v>
      </c>
      <c r="I565" t="s">
        <v>171</v>
      </c>
    </row>
    <row r="566" spans="1:9">
      <c r="A566" s="50">
        <v>45993</v>
      </c>
      <c r="B566" s="51">
        <v>0.00986111111111111</v>
      </c>
      <c r="C566" t="s">
        <v>167</v>
      </c>
      <c r="D566" t="s">
        <v>33</v>
      </c>
      <c r="E566" t="s">
        <v>385</v>
      </c>
      <c r="F566" t="s">
        <v>386</v>
      </c>
      <c r="G566">
        <v>-53500</v>
      </c>
      <c r="H566" t="s">
        <v>170</v>
      </c>
      <c r="I566" t="s">
        <v>237</v>
      </c>
    </row>
    <row r="567" spans="1:9">
      <c r="A567" s="50">
        <v>45993</v>
      </c>
      <c r="B567" s="51">
        <v>0.007141203703703703</v>
      </c>
      <c r="C567" t="s">
        <v>167</v>
      </c>
      <c r="D567" t="s">
        <v>33</v>
      </c>
      <c r="E567" t="s">
        <v>385</v>
      </c>
      <c r="F567" t="s">
        <v>386</v>
      </c>
      <c r="G567">
        <v>-29300</v>
      </c>
      <c r="H567" t="s">
        <v>170</v>
      </c>
      <c r="I567" t="s">
        <v>237</v>
      </c>
    </row>
    <row r="568" spans="1:9">
      <c r="A568" s="50">
        <v>45992</v>
      </c>
      <c r="B568" s="51">
        <v>0.9993865740740741</v>
      </c>
      <c r="C568" t="s">
        <v>167</v>
      </c>
      <c r="D568" t="s">
        <v>33</v>
      </c>
      <c r="E568" t="s">
        <v>385</v>
      </c>
      <c r="F568" t="s">
        <v>386</v>
      </c>
      <c r="G568">
        <v>-59800</v>
      </c>
      <c r="H568" t="s">
        <v>170</v>
      </c>
      <c r="I568" t="s">
        <v>237</v>
      </c>
    </row>
    <row r="569" spans="1:9">
      <c r="A569" s="50">
        <v>45992</v>
      </c>
      <c r="B569" s="51">
        <v>0.9960532407407408</v>
      </c>
      <c r="C569" t="s">
        <v>167</v>
      </c>
      <c r="D569" t="s">
        <v>33</v>
      </c>
      <c r="E569" t="s">
        <v>385</v>
      </c>
      <c r="F569" t="s">
        <v>386</v>
      </c>
      <c r="G569">
        <v>-48800</v>
      </c>
      <c r="H569" t="s">
        <v>170</v>
      </c>
      <c r="I569" t="s">
        <v>237</v>
      </c>
    </row>
    <row r="570" spans="1:9">
      <c r="A570" s="50">
        <v>45992</v>
      </c>
      <c r="B570" s="51">
        <v>0.528587962962963</v>
      </c>
      <c r="C570" t="s">
        <v>167</v>
      </c>
      <c r="D570" t="s">
        <v>40</v>
      </c>
      <c r="E570" t="s">
        <v>324</v>
      </c>
      <c r="F570" t="s">
        <v>325</v>
      </c>
      <c r="G570">
        <v>-9900</v>
      </c>
      <c r="H570" t="s">
        <v>170</v>
      </c>
      <c r="I570" t="s">
        <v>171</v>
      </c>
    </row>
    <row r="571" spans="1:9">
      <c r="A571" s="50">
        <v>45992</v>
      </c>
      <c r="B571" s="51">
        <v>0.3293518518518518</v>
      </c>
      <c r="C571" t="s">
        <v>172</v>
      </c>
      <c r="D571" t="s">
        <v>195</v>
      </c>
      <c r="E571" t="s">
        <v>173</v>
      </c>
      <c r="F571" t="s">
        <v>264</v>
      </c>
      <c r="G571">
        <v>16200</v>
      </c>
      <c r="H571" t="s">
        <v>170</v>
      </c>
      <c r="I571" t="s">
        <v>175</v>
      </c>
    </row>
    <row r="572" spans="1:9">
      <c r="A572" s="50">
        <v>45992</v>
      </c>
      <c r="B572" s="51">
        <v>0.3293518518518518</v>
      </c>
      <c r="C572" t="s">
        <v>172</v>
      </c>
      <c r="D572" t="s">
        <v>172</v>
      </c>
      <c r="E572" t="s">
        <v>173</v>
      </c>
      <c r="F572" t="s">
        <v>174</v>
      </c>
      <c r="G572">
        <v>-20000</v>
      </c>
      <c r="H572" t="s">
        <v>170</v>
      </c>
      <c r="I572" t="s">
        <v>175</v>
      </c>
    </row>
    <row r="573" spans="1:9">
      <c r="A573" s="50">
        <v>45992</v>
      </c>
      <c r="B573" s="51">
        <v>0.3293518518518518</v>
      </c>
      <c r="C573" t="s">
        <v>172</v>
      </c>
      <c r="D573" t="s">
        <v>195</v>
      </c>
      <c r="E573" t="s">
        <v>173</v>
      </c>
      <c r="F573" t="s">
        <v>265</v>
      </c>
      <c r="G573">
        <v>-16200</v>
      </c>
      <c r="H573" t="s">
        <v>170</v>
      </c>
      <c r="I573" t="s">
        <v>61</v>
      </c>
    </row>
    <row r="574" spans="1:9">
      <c r="A574" s="50">
        <v>45991</v>
      </c>
      <c r="B574" s="51">
        <v>0.9605555555555556</v>
      </c>
      <c r="C574" t="s">
        <v>167</v>
      </c>
      <c r="D574" t="s">
        <v>33</v>
      </c>
      <c r="E574" t="s">
        <v>385</v>
      </c>
      <c r="F574" t="s">
        <v>386</v>
      </c>
      <c r="G574">
        <v>-41300</v>
      </c>
      <c r="H574" t="s">
        <v>170</v>
      </c>
      <c r="I574" t="s">
        <v>237</v>
      </c>
    </row>
    <row r="575" spans="1:9">
      <c r="A575" s="50">
        <v>45991</v>
      </c>
      <c r="B575" s="51">
        <v>0.9394560185185186</v>
      </c>
      <c r="C575" t="s">
        <v>167</v>
      </c>
      <c r="D575" t="s">
        <v>33</v>
      </c>
      <c r="E575" t="s">
        <v>385</v>
      </c>
      <c r="F575" t="s">
        <v>386</v>
      </c>
      <c r="G575">
        <v>-40900</v>
      </c>
      <c r="H575" t="s">
        <v>170</v>
      </c>
      <c r="I575" t="s">
        <v>237</v>
      </c>
    </row>
    <row r="576" spans="1:9">
      <c r="A576" s="50">
        <v>45991</v>
      </c>
      <c r="B576" s="51">
        <v>0.9228472222222223</v>
      </c>
      <c r="C576" t="s">
        <v>167</v>
      </c>
      <c r="D576" t="s">
        <v>42</v>
      </c>
      <c r="E576" t="s">
        <v>235</v>
      </c>
      <c r="F576" t="s">
        <v>242</v>
      </c>
      <c r="G576">
        <v>-44000</v>
      </c>
      <c r="H576" t="s">
        <v>170</v>
      </c>
      <c r="I576" t="s">
        <v>243</v>
      </c>
    </row>
    <row r="577" spans="1:9">
      <c r="A577" s="50">
        <v>45991</v>
      </c>
      <c r="B577" s="51">
        <v>0.8709837962962963</v>
      </c>
      <c r="C577" t="s">
        <v>167</v>
      </c>
      <c r="D577" t="s">
        <v>35</v>
      </c>
      <c r="E577" t="s">
        <v>360</v>
      </c>
      <c r="F577" t="s">
        <v>446</v>
      </c>
      <c r="G577">
        <v>-6200</v>
      </c>
      <c r="H577" t="s">
        <v>170</v>
      </c>
      <c r="I577" t="s">
        <v>253</v>
      </c>
    </row>
    <row r="578" spans="1:9">
      <c r="A578" s="50">
        <v>45991</v>
      </c>
      <c r="B578" s="51">
        <v>0.8708217592592593</v>
      </c>
      <c r="C578" t="s">
        <v>172</v>
      </c>
      <c r="D578" t="s">
        <v>172</v>
      </c>
      <c r="E578" t="s">
        <v>173</v>
      </c>
      <c r="F578" t="s">
        <v>265</v>
      </c>
      <c r="G578">
        <v>-10000</v>
      </c>
      <c r="H578" t="s">
        <v>170</v>
      </c>
      <c r="I578" t="s">
        <v>61</v>
      </c>
    </row>
    <row r="579" spans="1:9">
      <c r="A579" s="50">
        <v>45991</v>
      </c>
      <c r="B579" s="51">
        <v>0.574675925925926</v>
      </c>
      <c r="C579" t="s">
        <v>167</v>
      </c>
      <c r="D579" t="s">
        <v>46</v>
      </c>
      <c r="E579" t="s">
        <v>168</v>
      </c>
      <c r="F579" t="s">
        <v>418</v>
      </c>
      <c r="G579">
        <v>-4600</v>
      </c>
      <c r="H579" t="s">
        <v>170</v>
      </c>
      <c r="I579" t="s">
        <v>171</v>
      </c>
    </row>
    <row r="580" spans="1:9">
      <c r="A580" s="50">
        <v>45991</v>
      </c>
      <c r="B580" s="51">
        <v>0</v>
      </c>
      <c r="C580" t="s">
        <v>167</v>
      </c>
      <c r="D580" t="s">
        <v>34</v>
      </c>
      <c r="E580" t="s">
        <v>206</v>
      </c>
      <c r="F580" t="s">
        <v>468</v>
      </c>
      <c r="G580">
        <v>-200</v>
      </c>
      <c r="H580" t="s">
        <v>170</v>
      </c>
      <c r="I580" t="s">
        <v>187</v>
      </c>
    </row>
    <row r="581" spans="1:9">
      <c r="A581" s="50">
        <v>45990</v>
      </c>
      <c r="B581" s="51">
        <v>0.8017245370370371</v>
      </c>
      <c r="C581" t="s">
        <v>167</v>
      </c>
      <c r="D581" t="s">
        <v>40</v>
      </c>
      <c r="E581" t="s">
        <v>261</v>
      </c>
      <c r="F581" t="s">
        <v>262</v>
      </c>
      <c r="G581">
        <v>-44000</v>
      </c>
      <c r="H581" t="s">
        <v>170</v>
      </c>
      <c r="I581" t="s">
        <v>243</v>
      </c>
    </row>
    <row r="582" spans="1:9">
      <c r="A582" s="50">
        <v>45990</v>
      </c>
      <c r="B582" s="51">
        <v>0.5558564814814815</v>
      </c>
      <c r="C582" t="s">
        <v>167</v>
      </c>
      <c r="D582" t="s">
        <v>46</v>
      </c>
      <c r="E582" t="s">
        <v>168</v>
      </c>
      <c r="F582" t="s">
        <v>418</v>
      </c>
      <c r="G582">
        <v>-4600</v>
      </c>
      <c r="H582" t="s">
        <v>170</v>
      </c>
      <c r="I582" t="s">
        <v>171</v>
      </c>
    </row>
    <row r="583" spans="1:9">
      <c r="A583" s="50">
        <v>45990</v>
      </c>
      <c r="B583" s="51">
        <v>0.3509490740740741</v>
      </c>
      <c r="C583" t="s">
        <v>167</v>
      </c>
      <c r="D583" t="s">
        <v>46</v>
      </c>
      <c r="E583" t="s">
        <v>423</v>
      </c>
      <c r="F583" t="s">
        <v>424</v>
      </c>
      <c r="G583">
        <v>-16300</v>
      </c>
      <c r="H583" t="s">
        <v>170</v>
      </c>
      <c r="I583" t="s">
        <v>171</v>
      </c>
    </row>
    <row r="584" spans="1:9">
      <c r="A584" s="50">
        <v>45990</v>
      </c>
      <c r="B584" s="51">
        <v>0.2426851851851852</v>
      </c>
      <c r="C584" t="s">
        <v>233</v>
      </c>
      <c r="D584" t="s">
        <v>28</v>
      </c>
      <c r="E584" t="s">
        <v>173</v>
      </c>
      <c r="F584" t="s">
        <v>278</v>
      </c>
      <c r="G584">
        <v>5</v>
      </c>
      <c r="H584" t="s">
        <v>170</v>
      </c>
      <c r="I584" t="s">
        <v>60</v>
      </c>
    </row>
    <row r="585" spans="1:9">
      <c r="A585" s="50">
        <v>45989</v>
      </c>
      <c r="B585" s="51">
        <v>0.851087962962963</v>
      </c>
      <c r="C585" t="s">
        <v>167</v>
      </c>
      <c r="D585" t="s">
        <v>35</v>
      </c>
      <c r="E585" t="s">
        <v>360</v>
      </c>
      <c r="F585" t="s">
        <v>252</v>
      </c>
      <c r="G585">
        <v>-20020</v>
      </c>
      <c r="H585" t="s">
        <v>170</v>
      </c>
      <c r="I585" t="s">
        <v>253</v>
      </c>
    </row>
    <row r="586" spans="1:9">
      <c r="A586" s="50">
        <v>45989</v>
      </c>
      <c r="B586" s="51">
        <v>0.7563310185185185</v>
      </c>
      <c r="C586" t="s">
        <v>172</v>
      </c>
      <c r="D586" t="s">
        <v>172</v>
      </c>
      <c r="E586" t="s">
        <v>173</v>
      </c>
      <c r="F586" t="s">
        <v>202</v>
      </c>
      <c r="G586">
        <v>-18500</v>
      </c>
      <c r="H586" t="s">
        <v>170</v>
      </c>
      <c r="I586" t="s">
        <v>60</v>
      </c>
    </row>
    <row r="587" spans="1:9">
      <c r="A587" s="50">
        <v>45989</v>
      </c>
      <c r="B587" s="51">
        <v>0.5509953703703704</v>
      </c>
      <c r="C587" t="s">
        <v>167</v>
      </c>
      <c r="D587" t="s">
        <v>35</v>
      </c>
      <c r="E587" t="s">
        <v>225</v>
      </c>
      <c r="F587" t="s">
        <v>226</v>
      </c>
      <c r="G587">
        <v>-14500</v>
      </c>
      <c r="H587" t="s">
        <v>170</v>
      </c>
      <c r="I587" t="s">
        <v>171</v>
      </c>
    </row>
    <row r="588" spans="1:9">
      <c r="A588" s="50">
        <v>45989</v>
      </c>
      <c r="B588" s="51">
        <v>0.2672106481481482</v>
      </c>
      <c r="C588" t="s">
        <v>167</v>
      </c>
      <c r="D588" t="s">
        <v>33</v>
      </c>
      <c r="E588" t="s">
        <v>282</v>
      </c>
      <c r="F588" t="s">
        <v>287</v>
      </c>
      <c r="G588">
        <v>-49350</v>
      </c>
      <c r="H588" t="s">
        <v>170</v>
      </c>
      <c r="I588" t="s">
        <v>243</v>
      </c>
    </row>
    <row r="589" spans="1:9">
      <c r="A589" s="50">
        <v>45989</v>
      </c>
      <c r="B589" s="51">
        <v>0.2650462962962963</v>
      </c>
      <c r="C589" t="s">
        <v>167</v>
      </c>
      <c r="D589" t="s">
        <v>33</v>
      </c>
      <c r="E589" t="s">
        <v>282</v>
      </c>
      <c r="F589" t="s">
        <v>287</v>
      </c>
      <c r="G589">
        <v>-42250</v>
      </c>
      <c r="H589" t="s">
        <v>170</v>
      </c>
      <c r="I589" t="s">
        <v>243</v>
      </c>
    </row>
    <row r="590" spans="1:9">
      <c r="A590" s="50">
        <v>45988</v>
      </c>
      <c r="B590" s="51">
        <v>0.5278935185185185</v>
      </c>
      <c r="C590" t="s">
        <v>167</v>
      </c>
      <c r="D590" t="s">
        <v>35</v>
      </c>
      <c r="E590" t="s">
        <v>271</v>
      </c>
      <c r="F590" t="s">
        <v>469</v>
      </c>
      <c r="G590">
        <v>-11900</v>
      </c>
      <c r="H590" t="s">
        <v>170</v>
      </c>
      <c r="I590" t="s">
        <v>171</v>
      </c>
    </row>
    <row r="591" spans="1:9">
      <c r="A591" s="50">
        <v>45987</v>
      </c>
      <c r="B591" s="51">
        <v>0.5283912037037037</v>
      </c>
      <c r="C591" t="s">
        <v>167</v>
      </c>
      <c r="D591" t="s">
        <v>40</v>
      </c>
      <c r="E591" t="s">
        <v>244</v>
      </c>
      <c r="F591" t="s">
        <v>314</v>
      </c>
      <c r="G591">
        <v>-17400</v>
      </c>
      <c r="H591" t="s">
        <v>170</v>
      </c>
      <c r="I591" t="s">
        <v>171</v>
      </c>
    </row>
    <row r="592" spans="1:9">
      <c r="A592" s="50">
        <v>45986</v>
      </c>
      <c r="B592" s="51">
        <v>0.5286111111111111</v>
      </c>
      <c r="C592" t="s">
        <v>167</v>
      </c>
      <c r="D592" t="s">
        <v>40</v>
      </c>
      <c r="E592" t="s">
        <v>176</v>
      </c>
      <c r="F592" t="s">
        <v>470</v>
      </c>
      <c r="G592">
        <v>-11000</v>
      </c>
      <c r="H592" t="s">
        <v>170</v>
      </c>
      <c r="I592" t="s">
        <v>171</v>
      </c>
    </row>
    <row r="593" spans="1:9">
      <c r="A593" s="50">
        <v>45986</v>
      </c>
      <c r="B593" s="51">
        <v>0.4490046296296296</v>
      </c>
      <c r="C593" t="s">
        <v>172</v>
      </c>
      <c r="D593" t="s">
        <v>195</v>
      </c>
      <c r="E593" t="s">
        <v>173</v>
      </c>
      <c r="F593" t="s">
        <v>7</v>
      </c>
      <c r="G593">
        <v>-1000000</v>
      </c>
      <c r="H593" t="s">
        <v>170</v>
      </c>
      <c r="I593" t="s">
        <v>59</v>
      </c>
    </row>
    <row r="594" spans="1:9">
      <c r="A594" s="50">
        <v>45986</v>
      </c>
      <c r="B594" s="51">
        <v>0.4487847222222222</v>
      </c>
      <c r="C594" t="s">
        <v>172</v>
      </c>
      <c r="D594" t="s">
        <v>195</v>
      </c>
      <c r="E594" t="s">
        <v>173</v>
      </c>
      <c r="F594" t="s">
        <v>7</v>
      </c>
      <c r="G594">
        <v>1400000</v>
      </c>
      <c r="H594" t="s">
        <v>170</v>
      </c>
      <c r="I594" t="s">
        <v>61</v>
      </c>
    </row>
    <row r="595" spans="1:9">
      <c r="A595" s="50">
        <v>45986</v>
      </c>
      <c r="B595" s="51">
        <v>0.4487731481481482</v>
      </c>
      <c r="C595" t="s">
        <v>172</v>
      </c>
      <c r="D595" t="s">
        <v>195</v>
      </c>
      <c r="E595" t="s">
        <v>173</v>
      </c>
      <c r="F595" t="s">
        <v>7</v>
      </c>
      <c r="G595">
        <v>-1400000</v>
      </c>
      <c r="H595" t="s">
        <v>170</v>
      </c>
      <c r="I595" t="s">
        <v>59</v>
      </c>
    </row>
    <row r="596" spans="1:9">
      <c r="A596" s="50">
        <v>45986</v>
      </c>
      <c r="B596" s="51">
        <v>0.4211342592592592</v>
      </c>
      <c r="C596" t="s">
        <v>233</v>
      </c>
      <c r="D596" t="s">
        <v>29</v>
      </c>
      <c r="E596" t="s">
        <v>173</v>
      </c>
      <c r="F596" t="s">
        <v>286</v>
      </c>
      <c r="G596">
        <v>3157600</v>
      </c>
      <c r="H596" t="s">
        <v>170</v>
      </c>
      <c r="I596" t="s">
        <v>59</v>
      </c>
    </row>
    <row r="597" spans="1:9">
      <c r="A597" s="50">
        <v>45986</v>
      </c>
      <c r="B597" s="51">
        <v>0.4200462962962963</v>
      </c>
      <c r="C597" t="s">
        <v>167</v>
      </c>
      <c r="D597" t="s">
        <v>42</v>
      </c>
      <c r="E597" t="s">
        <v>235</v>
      </c>
      <c r="F597" t="s">
        <v>353</v>
      </c>
      <c r="G597">
        <v>-162500</v>
      </c>
      <c r="H597" t="s">
        <v>170</v>
      </c>
      <c r="I597" t="s">
        <v>187</v>
      </c>
    </row>
    <row r="598" spans="1:9">
      <c r="A598" s="50">
        <v>45986</v>
      </c>
      <c r="B598" s="51">
        <v>0.3883333333333333</v>
      </c>
      <c r="C598" t="s">
        <v>167</v>
      </c>
      <c r="D598" t="s">
        <v>42</v>
      </c>
      <c r="E598" t="s">
        <v>217</v>
      </c>
      <c r="F598" t="s">
        <v>471</v>
      </c>
      <c r="G598">
        <v>-29800</v>
      </c>
      <c r="H598" t="s">
        <v>170</v>
      </c>
      <c r="I598" t="s">
        <v>187</v>
      </c>
    </row>
    <row r="599" spans="1:9">
      <c r="A599" s="50">
        <v>45985</v>
      </c>
      <c r="B599" s="51">
        <v>0.641087962962963</v>
      </c>
      <c r="C599" t="s">
        <v>167</v>
      </c>
      <c r="D599" t="s">
        <v>42</v>
      </c>
      <c r="E599" t="s">
        <v>235</v>
      </c>
      <c r="F599" t="s">
        <v>247</v>
      </c>
      <c r="G599">
        <v>-8990</v>
      </c>
      <c r="H599" t="s">
        <v>170</v>
      </c>
      <c r="I599" t="s">
        <v>237</v>
      </c>
    </row>
    <row r="600" spans="1:9">
      <c r="A600" s="50">
        <v>45985</v>
      </c>
      <c r="B600" s="51">
        <v>0.5273842592592592</v>
      </c>
      <c r="C600" t="s">
        <v>167</v>
      </c>
      <c r="D600" t="s">
        <v>40</v>
      </c>
      <c r="E600" t="s">
        <v>324</v>
      </c>
      <c r="F600" t="s">
        <v>325</v>
      </c>
      <c r="G600">
        <v>-9900</v>
      </c>
      <c r="H600" t="s">
        <v>170</v>
      </c>
      <c r="I600" t="s">
        <v>171</v>
      </c>
    </row>
    <row r="601" spans="1:9">
      <c r="A601" s="50">
        <v>45985</v>
      </c>
      <c r="B601" s="51">
        <v>0.3484722222222222</v>
      </c>
      <c r="C601" t="s">
        <v>167</v>
      </c>
      <c r="D601" t="s">
        <v>35</v>
      </c>
      <c r="E601" t="s">
        <v>225</v>
      </c>
      <c r="F601" t="s">
        <v>226</v>
      </c>
      <c r="G601">
        <v>-3500</v>
      </c>
      <c r="H601" t="s">
        <v>170</v>
      </c>
      <c r="I601" t="s">
        <v>171</v>
      </c>
    </row>
    <row r="602" spans="1:9">
      <c r="A602" s="50">
        <v>45984</v>
      </c>
      <c r="B602" s="51">
        <v>0.5062268518518519</v>
      </c>
      <c r="C602" t="s">
        <v>167</v>
      </c>
      <c r="D602" t="s">
        <v>46</v>
      </c>
      <c r="E602" t="s">
        <v>168</v>
      </c>
      <c r="F602" t="s">
        <v>418</v>
      </c>
      <c r="G602">
        <v>-2300</v>
      </c>
      <c r="H602" t="s">
        <v>170</v>
      </c>
      <c r="I602" t="s">
        <v>171</v>
      </c>
    </row>
    <row r="603" spans="1:9">
      <c r="A603" s="50">
        <v>45983</v>
      </c>
      <c r="B603" s="51">
        <v>0.7511458333333333</v>
      </c>
      <c r="C603" t="s">
        <v>167</v>
      </c>
      <c r="D603" t="s">
        <v>40</v>
      </c>
      <c r="E603" t="s">
        <v>261</v>
      </c>
      <c r="F603" t="s">
        <v>262</v>
      </c>
      <c r="G603">
        <v>-26000</v>
      </c>
      <c r="H603" t="s">
        <v>170</v>
      </c>
      <c r="I603" t="s">
        <v>243</v>
      </c>
    </row>
    <row r="604" spans="1:9">
      <c r="A604" s="50">
        <v>45983</v>
      </c>
      <c r="B604" s="51">
        <v>0.6924305555555555</v>
      </c>
      <c r="C604" t="s">
        <v>167</v>
      </c>
      <c r="D604" t="s">
        <v>34</v>
      </c>
      <c r="E604" t="s">
        <v>208</v>
      </c>
      <c r="F604" t="s">
        <v>308</v>
      </c>
      <c r="G604">
        <v>-80000</v>
      </c>
      <c r="H604" t="s">
        <v>170</v>
      </c>
      <c r="I604" t="s">
        <v>237</v>
      </c>
    </row>
    <row r="605" spans="1:9">
      <c r="A605" s="50">
        <v>45982</v>
      </c>
      <c r="B605" s="51">
        <v>0.768449074074074</v>
      </c>
      <c r="C605" t="s">
        <v>167</v>
      </c>
      <c r="D605" t="s">
        <v>46</v>
      </c>
      <c r="E605" t="s">
        <v>423</v>
      </c>
      <c r="F605" t="s">
        <v>424</v>
      </c>
      <c r="G605">
        <v>-9000</v>
      </c>
      <c r="H605" t="s">
        <v>170</v>
      </c>
      <c r="I605" t="s">
        <v>171</v>
      </c>
    </row>
    <row r="606" spans="1:9">
      <c r="A606" s="50">
        <v>45982</v>
      </c>
      <c r="B606" s="51">
        <v>0.5268055555555555</v>
      </c>
      <c r="C606" t="s">
        <v>167</v>
      </c>
      <c r="D606" t="s">
        <v>40</v>
      </c>
      <c r="E606" t="s">
        <v>356</v>
      </c>
      <c r="F606" t="s">
        <v>472</v>
      </c>
      <c r="G606">
        <v>-90000</v>
      </c>
      <c r="H606" t="s">
        <v>170</v>
      </c>
      <c r="I606" t="s">
        <v>171</v>
      </c>
    </row>
    <row r="607" spans="1:9">
      <c r="A607" s="50">
        <v>45981</v>
      </c>
      <c r="B607" s="51">
        <v>0.8662152777777777</v>
      </c>
      <c r="C607" t="s">
        <v>167</v>
      </c>
      <c r="D607" t="s">
        <v>39</v>
      </c>
      <c r="E607" t="s">
        <v>358</v>
      </c>
      <c r="F607" t="s">
        <v>473</v>
      </c>
      <c r="G607">
        <v>-67000</v>
      </c>
      <c r="H607" t="s">
        <v>170</v>
      </c>
      <c r="I607" t="s">
        <v>171</v>
      </c>
    </row>
    <row r="608" spans="1:9">
      <c r="A608" s="50">
        <v>45980</v>
      </c>
      <c r="B608" s="51">
        <v>0.7750231481481481</v>
      </c>
      <c r="C608" t="s">
        <v>167</v>
      </c>
      <c r="D608" t="s">
        <v>38</v>
      </c>
      <c r="E608" t="s">
        <v>181</v>
      </c>
      <c r="F608" t="s">
        <v>192</v>
      </c>
      <c r="G608">
        <v>-17400</v>
      </c>
      <c r="H608" t="s">
        <v>170</v>
      </c>
      <c r="I608" t="s">
        <v>171</v>
      </c>
    </row>
    <row r="609" spans="1:9">
      <c r="A609" s="50">
        <v>45980</v>
      </c>
      <c r="B609" s="51">
        <v>0.7615162037037037</v>
      </c>
      <c r="C609" t="s">
        <v>167</v>
      </c>
      <c r="D609" t="s">
        <v>40</v>
      </c>
      <c r="E609" t="s">
        <v>261</v>
      </c>
      <c r="F609" t="s">
        <v>262</v>
      </c>
      <c r="G609">
        <v>-16300</v>
      </c>
      <c r="H609" t="s">
        <v>170</v>
      </c>
      <c r="I609" t="s">
        <v>243</v>
      </c>
    </row>
    <row r="610" spans="1:9">
      <c r="A610" s="50">
        <v>45980</v>
      </c>
      <c r="B610" s="51">
        <v>0.5498958333333334</v>
      </c>
      <c r="C610" t="s">
        <v>167</v>
      </c>
      <c r="D610" t="s">
        <v>45</v>
      </c>
      <c r="E610" t="s">
        <v>185</v>
      </c>
      <c r="F610" t="s">
        <v>186</v>
      </c>
      <c r="G610">
        <v>-25080</v>
      </c>
      <c r="H610" t="s">
        <v>170</v>
      </c>
      <c r="I610" t="s">
        <v>187</v>
      </c>
    </row>
    <row r="611" spans="1:9">
      <c r="A611" s="50">
        <v>45980</v>
      </c>
      <c r="B611" s="51">
        <v>0.5261342592592593</v>
      </c>
      <c r="C611" t="s">
        <v>167</v>
      </c>
      <c r="D611" t="s">
        <v>40</v>
      </c>
      <c r="E611" t="s">
        <v>324</v>
      </c>
      <c r="F611" t="s">
        <v>325</v>
      </c>
      <c r="G611">
        <v>-9900</v>
      </c>
      <c r="H611" t="s">
        <v>170</v>
      </c>
      <c r="I611" t="s">
        <v>171</v>
      </c>
    </row>
    <row r="612" spans="1:9">
      <c r="A612" s="50">
        <v>45979</v>
      </c>
      <c r="B612" s="51">
        <v>0.9161342592592593</v>
      </c>
      <c r="C612" t="s">
        <v>167</v>
      </c>
      <c r="D612" t="s">
        <v>46</v>
      </c>
      <c r="E612" t="s">
        <v>168</v>
      </c>
      <c r="F612" t="s">
        <v>279</v>
      </c>
      <c r="G612">
        <v>-59500</v>
      </c>
      <c r="H612" t="s">
        <v>170</v>
      </c>
      <c r="I612" t="s">
        <v>237</v>
      </c>
    </row>
    <row r="613" spans="1:9">
      <c r="A613" s="50">
        <v>45979</v>
      </c>
      <c r="B613" s="51">
        <v>0.8495370370370371</v>
      </c>
      <c r="C613" t="s">
        <v>167</v>
      </c>
      <c r="D613" t="s">
        <v>38</v>
      </c>
      <c r="E613" t="s">
        <v>259</v>
      </c>
      <c r="F613" t="s">
        <v>474</v>
      </c>
      <c r="G613">
        <v>-65880</v>
      </c>
      <c r="H613" t="s">
        <v>170</v>
      </c>
      <c r="I613" t="s">
        <v>187</v>
      </c>
    </row>
    <row r="614" spans="1:9">
      <c r="A614" s="50">
        <v>45979</v>
      </c>
      <c r="B614" s="51">
        <v>0.5280208333333334</v>
      </c>
      <c r="C614" t="s">
        <v>167</v>
      </c>
      <c r="D614" t="s">
        <v>40</v>
      </c>
      <c r="E614" t="s">
        <v>176</v>
      </c>
      <c r="F614" t="s">
        <v>317</v>
      </c>
      <c r="G614">
        <v>-11000</v>
      </c>
      <c r="H614" t="s">
        <v>170</v>
      </c>
      <c r="I614" t="s">
        <v>171</v>
      </c>
    </row>
    <row r="615" spans="1:9">
      <c r="A615" s="50">
        <v>45978</v>
      </c>
      <c r="B615" s="51">
        <v>0.5497916666666667</v>
      </c>
      <c r="C615" t="s">
        <v>167</v>
      </c>
      <c r="D615" t="s">
        <v>38</v>
      </c>
      <c r="E615" t="s">
        <v>181</v>
      </c>
      <c r="F615" t="s">
        <v>285</v>
      </c>
      <c r="G615">
        <v>-3900</v>
      </c>
      <c r="H615" t="s">
        <v>170</v>
      </c>
      <c r="I615" t="s">
        <v>171</v>
      </c>
    </row>
    <row r="616" spans="1:9">
      <c r="A616" s="50">
        <v>45978</v>
      </c>
      <c r="B616" s="51">
        <v>0.3551041666666667</v>
      </c>
      <c r="C616" t="s">
        <v>167</v>
      </c>
      <c r="D616" t="s">
        <v>42</v>
      </c>
      <c r="E616" t="s">
        <v>235</v>
      </c>
      <c r="F616" t="s">
        <v>247</v>
      </c>
      <c r="G616">
        <v>-8990</v>
      </c>
      <c r="H616" t="s">
        <v>170</v>
      </c>
      <c r="I616" t="s">
        <v>237</v>
      </c>
    </row>
    <row r="617" spans="1:9">
      <c r="A617" s="50">
        <v>45978</v>
      </c>
      <c r="B617" s="51">
        <v>0.2260648148148148</v>
      </c>
      <c r="C617" t="s">
        <v>167</v>
      </c>
      <c r="D617" t="s">
        <v>42</v>
      </c>
      <c r="E617" t="s">
        <v>235</v>
      </c>
      <c r="F617" t="s">
        <v>353</v>
      </c>
      <c r="G617">
        <v>-165600</v>
      </c>
      <c r="H617" t="s">
        <v>170</v>
      </c>
      <c r="I617" t="s">
        <v>187</v>
      </c>
    </row>
    <row r="618" spans="1:9">
      <c r="A618" s="50">
        <v>45978</v>
      </c>
      <c r="B618" s="51">
        <v>0.130787037037037</v>
      </c>
      <c r="C618" t="s">
        <v>172</v>
      </c>
      <c r="D618" t="s">
        <v>200</v>
      </c>
      <c r="E618" t="s">
        <v>173</v>
      </c>
      <c r="F618" t="s">
        <v>201</v>
      </c>
      <c r="G618">
        <v>-399752</v>
      </c>
      <c r="H618" t="s">
        <v>170</v>
      </c>
      <c r="I618" t="s">
        <v>61</v>
      </c>
    </row>
    <row r="619" spans="1:9">
      <c r="A619" s="50">
        <v>45977</v>
      </c>
      <c r="B619" s="51">
        <v>0.5273958333333333</v>
      </c>
      <c r="C619" t="s">
        <v>167</v>
      </c>
      <c r="D619" t="s">
        <v>46</v>
      </c>
      <c r="E619" t="s">
        <v>168</v>
      </c>
      <c r="F619" t="s">
        <v>305</v>
      </c>
      <c r="G619">
        <v>-3000</v>
      </c>
      <c r="H619" t="s">
        <v>170</v>
      </c>
      <c r="I619" t="s">
        <v>171</v>
      </c>
    </row>
    <row r="620" spans="1:9">
      <c r="A620" s="50">
        <v>45977</v>
      </c>
      <c r="B620" s="51">
        <v>0.5203125</v>
      </c>
      <c r="C620" t="s">
        <v>167</v>
      </c>
      <c r="D620" t="s">
        <v>40</v>
      </c>
      <c r="E620" t="s">
        <v>244</v>
      </c>
      <c r="F620" t="s">
        <v>475</v>
      </c>
      <c r="G620">
        <v>-10200</v>
      </c>
      <c r="H620" t="s">
        <v>170</v>
      </c>
      <c r="I620" t="s">
        <v>171</v>
      </c>
    </row>
    <row r="621" spans="1:9">
      <c r="A621" s="50">
        <v>45977</v>
      </c>
      <c r="B621" s="51">
        <v>0.4845486111111111</v>
      </c>
      <c r="C621" t="s">
        <v>167</v>
      </c>
      <c r="D621" t="s">
        <v>38</v>
      </c>
      <c r="E621" t="s">
        <v>181</v>
      </c>
      <c r="F621" t="s">
        <v>476</v>
      </c>
      <c r="G621">
        <v>-10000</v>
      </c>
      <c r="H621" t="s">
        <v>170</v>
      </c>
      <c r="I621" t="s">
        <v>171</v>
      </c>
    </row>
    <row r="622" spans="1:9">
      <c r="A622" s="50">
        <v>45976</v>
      </c>
      <c r="B622" s="51">
        <v>0.453599537037037</v>
      </c>
      <c r="C622" t="s">
        <v>167</v>
      </c>
      <c r="D622" t="s">
        <v>46</v>
      </c>
      <c r="E622" t="s">
        <v>168</v>
      </c>
      <c r="F622" t="s">
        <v>305</v>
      </c>
      <c r="G622">
        <v>-6000</v>
      </c>
      <c r="H622" t="s">
        <v>170</v>
      </c>
      <c r="I622" t="s">
        <v>171</v>
      </c>
    </row>
    <row r="623" spans="1:9">
      <c r="A623" s="50">
        <v>45975</v>
      </c>
      <c r="B623" s="51">
        <v>0.7366898148148148</v>
      </c>
      <c r="C623" t="s">
        <v>167</v>
      </c>
      <c r="D623" t="s">
        <v>41</v>
      </c>
      <c r="E623" t="s">
        <v>452</v>
      </c>
      <c r="F623" t="s">
        <v>453</v>
      </c>
      <c r="G623">
        <v>-105836</v>
      </c>
      <c r="H623" t="s">
        <v>170</v>
      </c>
      <c r="I623" t="s">
        <v>253</v>
      </c>
    </row>
    <row r="624" spans="1:9">
      <c r="A624" s="50">
        <v>45975</v>
      </c>
      <c r="B624" s="51">
        <v>0.7363657407407408</v>
      </c>
      <c r="C624" t="s">
        <v>172</v>
      </c>
      <c r="D624" t="s">
        <v>172</v>
      </c>
      <c r="E624" t="s">
        <v>173</v>
      </c>
      <c r="F624" t="s">
        <v>265</v>
      </c>
      <c r="G624">
        <v>-103836</v>
      </c>
      <c r="H624" t="s">
        <v>170</v>
      </c>
      <c r="I624" t="s">
        <v>61</v>
      </c>
    </row>
    <row r="625" spans="1:9">
      <c r="A625" s="50">
        <v>45975</v>
      </c>
      <c r="B625" s="51">
        <v>0.5267361111111111</v>
      </c>
      <c r="C625" t="s">
        <v>167</v>
      </c>
      <c r="D625" t="s">
        <v>40</v>
      </c>
      <c r="E625" t="s">
        <v>176</v>
      </c>
      <c r="F625" t="s">
        <v>205</v>
      </c>
      <c r="G625">
        <v>-8000</v>
      </c>
      <c r="H625" t="s">
        <v>170</v>
      </c>
      <c r="I625" t="s">
        <v>171</v>
      </c>
    </row>
    <row r="626" spans="1:9">
      <c r="A626" s="50">
        <v>45974</v>
      </c>
      <c r="B626" s="51">
        <v>0.8969444444444444</v>
      </c>
      <c r="C626" t="s">
        <v>167</v>
      </c>
      <c r="D626" t="s">
        <v>42</v>
      </c>
      <c r="E626" t="s">
        <v>235</v>
      </c>
      <c r="F626" t="s">
        <v>477</v>
      </c>
      <c r="G626">
        <v>-50500</v>
      </c>
      <c r="H626" t="s">
        <v>170</v>
      </c>
      <c r="I626" t="s">
        <v>187</v>
      </c>
    </row>
    <row r="627" spans="1:9">
      <c r="A627" s="50">
        <v>45972</v>
      </c>
      <c r="B627" s="51">
        <v>0.8062731481481481</v>
      </c>
      <c r="C627" t="s">
        <v>167</v>
      </c>
      <c r="D627" t="s">
        <v>42</v>
      </c>
      <c r="E627" t="s">
        <v>235</v>
      </c>
      <c r="F627" t="s">
        <v>368</v>
      </c>
      <c r="G627">
        <v>-4000</v>
      </c>
      <c r="H627" t="s">
        <v>170</v>
      </c>
      <c r="I627" t="s">
        <v>253</v>
      </c>
    </row>
    <row r="628" spans="1:9">
      <c r="A628" s="50">
        <v>45972</v>
      </c>
      <c r="B628" s="51">
        <v>0.7516319444444445</v>
      </c>
      <c r="C628" t="s">
        <v>172</v>
      </c>
      <c r="D628" t="s">
        <v>195</v>
      </c>
      <c r="E628" t="s">
        <v>173</v>
      </c>
      <c r="F628" t="s">
        <v>7</v>
      </c>
      <c r="G628">
        <v>700000</v>
      </c>
      <c r="H628" t="s">
        <v>170</v>
      </c>
      <c r="I628" t="s">
        <v>67</v>
      </c>
    </row>
    <row r="629" spans="1:9">
      <c r="A629" s="50">
        <v>45972</v>
      </c>
      <c r="B629" s="51">
        <v>0.7516319444444445</v>
      </c>
      <c r="C629" t="s">
        <v>172</v>
      </c>
      <c r="D629" t="s">
        <v>195</v>
      </c>
      <c r="E629" t="s">
        <v>173</v>
      </c>
      <c r="F629" t="s">
        <v>478</v>
      </c>
      <c r="G629">
        <v>-700000</v>
      </c>
      <c r="H629" t="s">
        <v>170</v>
      </c>
      <c r="I629" t="s">
        <v>59</v>
      </c>
    </row>
    <row r="630" spans="1:9">
      <c r="A630" s="50">
        <v>45972</v>
      </c>
      <c r="B630" s="51">
        <v>0.527337962962963</v>
      </c>
      <c r="C630" t="s">
        <v>167</v>
      </c>
      <c r="D630" t="s">
        <v>40</v>
      </c>
      <c r="E630" t="s">
        <v>244</v>
      </c>
      <c r="F630" t="s">
        <v>314</v>
      </c>
      <c r="G630">
        <v>-14900</v>
      </c>
      <c r="H630" t="s">
        <v>170</v>
      </c>
      <c r="I630" t="s">
        <v>171</v>
      </c>
    </row>
    <row r="631" spans="1:9">
      <c r="A631" s="50">
        <v>45971</v>
      </c>
      <c r="B631" s="51">
        <v>0.8470138888888888</v>
      </c>
      <c r="C631" t="s">
        <v>167</v>
      </c>
      <c r="D631" t="s">
        <v>46</v>
      </c>
      <c r="E631" t="s">
        <v>413</v>
      </c>
      <c r="F631" t="s">
        <v>414</v>
      </c>
      <c r="G631">
        <v>-9800</v>
      </c>
      <c r="H631" t="s">
        <v>170</v>
      </c>
      <c r="I631" t="s">
        <v>171</v>
      </c>
    </row>
    <row r="632" spans="1:9">
      <c r="A632" s="50">
        <v>45971</v>
      </c>
      <c r="B632" s="51">
        <v>0.8171990740740741</v>
      </c>
      <c r="C632" t="s">
        <v>167</v>
      </c>
      <c r="D632" t="s">
        <v>42</v>
      </c>
      <c r="E632" t="s">
        <v>188</v>
      </c>
      <c r="F632" t="s">
        <v>354</v>
      </c>
      <c r="G632">
        <v>-32322</v>
      </c>
      <c r="H632" t="s">
        <v>170</v>
      </c>
      <c r="I632" t="s">
        <v>187</v>
      </c>
    </row>
    <row r="633" spans="1:9">
      <c r="A633" s="50">
        <v>45970</v>
      </c>
      <c r="B633" s="51">
        <v>0.7185069444444444</v>
      </c>
      <c r="C633" t="s">
        <v>167</v>
      </c>
      <c r="D633" t="s">
        <v>33</v>
      </c>
      <c r="E633" t="s">
        <v>385</v>
      </c>
      <c r="F633" t="s">
        <v>386</v>
      </c>
      <c r="G633">
        <v>-53500</v>
      </c>
      <c r="H633" t="s">
        <v>170</v>
      </c>
      <c r="I633" t="s">
        <v>237</v>
      </c>
    </row>
    <row r="634" spans="1:9">
      <c r="A634" s="50">
        <v>45970</v>
      </c>
      <c r="B634" s="51">
        <v>0.6053819444444445</v>
      </c>
      <c r="C634" t="s">
        <v>167</v>
      </c>
      <c r="D634" t="s">
        <v>33</v>
      </c>
      <c r="E634" t="s">
        <v>385</v>
      </c>
      <c r="F634" t="s">
        <v>386</v>
      </c>
      <c r="G634">
        <v>50800</v>
      </c>
      <c r="H634" t="s">
        <v>170</v>
      </c>
      <c r="I634" t="s">
        <v>237</v>
      </c>
    </row>
    <row r="635" spans="1:9">
      <c r="A635" s="50">
        <v>45970</v>
      </c>
      <c r="B635" s="51">
        <v>0.6026851851851852</v>
      </c>
      <c r="C635" t="s">
        <v>167</v>
      </c>
      <c r="D635" t="s">
        <v>33</v>
      </c>
      <c r="E635" t="s">
        <v>385</v>
      </c>
      <c r="F635" t="s">
        <v>386</v>
      </c>
      <c r="G635">
        <v>-53500</v>
      </c>
      <c r="H635" t="s">
        <v>170</v>
      </c>
      <c r="I635" t="s">
        <v>237</v>
      </c>
    </row>
    <row r="636" spans="1:9">
      <c r="A636" s="50">
        <v>45970</v>
      </c>
      <c r="B636" s="51">
        <v>0.5930902777777778</v>
      </c>
      <c r="C636" t="s">
        <v>167</v>
      </c>
      <c r="D636" t="s">
        <v>33</v>
      </c>
      <c r="E636" t="s">
        <v>385</v>
      </c>
      <c r="F636" t="s">
        <v>386</v>
      </c>
      <c r="G636">
        <v>-50800</v>
      </c>
      <c r="H636" t="s">
        <v>170</v>
      </c>
      <c r="I636" t="s">
        <v>237</v>
      </c>
    </row>
    <row r="637" spans="1:9">
      <c r="A637" s="50">
        <v>45970</v>
      </c>
      <c r="B637" s="51">
        <v>0.5485532407407407</v>
      </c>
      <c r="C637" t="s">
        <v>167</v>
      </c>
      <c r="D637" t="s">
        <v>33</v>
      </c>
      <c r="E637" t="s">
        <v>385</v>
      </c>
      <c r="F637" t="s">
        <v>479</v>
      </c>
      <c r="G637">
        <v>-10000</v>
      </c>
      <c r="H637" t="s">
        <v>170</v>
      </c>
      <c r="I637" t="s">
        <v>171</v>
      </c>
    </row>
    <row r="638" spans="1:9">
      <c r="A638" s="50">
        <v>45970</v>
      </c>
      <c r="B638" s="51">
        <v>0.5451736111111111</v>
      </c>
      <c r="C638" t="s">
        <v>167</v>
      </c>
      <c r="D638" t="s">
        <v>38</v>
      </c>
      <c r="E638" t="s">
        <v>181</v>
      </c>
      <c r="F638" t="s">
        <v>465</v>
      </c>
      <c r="G638">
        <v>-6900</v>
      </c>
      <c r="H638" t="s">
        <v>170</v>
      </c>
      <c r="I638" t="s">
        <v>171</v>
      </c>
    </row>
    <row r="639" spans="1:9">
      <c r="A639" s="50">
        <v>45970</v>
      </c>
      <c r="B639" s="51">
        <v>0.4947337962962963</v>
      </c>
      <c r="C639" t="s">
        <v>167</v>
      </c>
      <c r="D639" t="s">
        <v>40</v>
      </c>
      <c r="E639" t="s">
        <v>176</v>
      </c>
      <c r="F639" t="s">
        <v>480</v>
      </c>
      <c r="G639">
        <v>-19900</v>
      </c>
      <c r="H639" t="s">
        <v>170</v>
      </c>
      <c r="I639" t="s">
        <v>171</v>
      </c>
    </row>
    <row r="640" spans="1:9">
      <c r="A640" s="50">
        <v>45969</v>
      </c>
      <c r="B640" s="51">
        <v>0.8788078703703703</v>
      </c>
      <c r="C640" t="s">
        <v>172</v>
      </c>
      <c r="D640" t="s">
        <v>195</v>
      </c>
      <c r="E640" t="s">
        <v>173</v>
      </c>
      <c r="F640" t="s">
        <v>264</v>
      </c>
      <c r="G640">
        <v>10000</v>
      </c>
      <c r="H640" t="s">
        <v>170</v>
      </c>
      <c r="I640" t="s">
        <v>175</v>
      </c>
    </row>
    <row r="641" spans="1:9">
      <c r="A641" s="50">
        <v>45969</v>
      </c>
      <c r="B641" s="51">
        <v>0.8788078703703703</v>
      </c>
      <c r="C641" t="s">
        <v>167</v>
      </c>
      <c r="D641" t="s">
        <v>35</v>
      </c>
      <c r="E641" t="s">
        <v>360</v>
      </c>
      <c r="F641" t="s">
        <v>481</v>
      </c>
      <c r="G641">
        <v>-12000</v>
      </c>
      <c r="H641" t="s">
        <v>170</v>
      </c>
      <c r="I641" t="s">
        <v>253</v>
      </c>
    </row>
    <row r="642" spans="1:9">
      <c r="A642" s="50">
        <v>45969</v>
      </c>
      <c r="B642" s="51">
        <v>0.8788078703703703</v>
      </c>
      <c r="C642" t="s">
        <v>172</v>
      </c>
      <c r="D642" t="s">
        <v>195</v>
      </c>
      <c r="E642" t="s">
        <v>173</v>
      </c>
      <c r="F642" t="s">
        <v>265</v>
      </c>
      <c r="G642">
        <v>-10000</v>
      </c>
      <c r="H642" t="s">
        <v>170</v>
      </c>
      <c r="I642" t="s">
        <v>61</v>
      </c>
    </row>
    <row r="643" spans="1:9">
      <c r="A643" s="50">
        <v>45969</v>
      </c>
      <c r="B643" s="51">
        <v>0.8462037037037037</v>
      </c>
      <c r="C643" t="s">
        <v>172</v>
      </c>
      <c r="D643" t="s">
        <v>195</v>
      </c>
      <c r="E643" t="s">
        <v>173</v>
      </c>
      <c r="F643" t="s">
        <v>264</v>
      </c>
      <c r="G643">
        <v>10000</v>
      </c>
      <c r="H643" t="s">
        <v>170</v>
      </c>
      <c r="I643" t="s">
        <v>175</v>
      </c>
    </row>
    <row r="644" spans="1:9">
      <c r="A644" s="50">
        <v>45969</v>
      </c>
      <c r="B644" s="51">
        <v>0.8462037037037037</v>
      </c>
      <c r="C644" t="s">
        <v>167</v>
      </c>
      <c r="D644" t="s">
        <v>35</v>
      </c>
      <c r="E644" t="s">
        <v>360</v>
      </c>
      <c r="F644" t="s">
        <v>481</v>
      </c>
      <c r="G644">
        <v>-2000</v>
      </c>
      <c r="H644" t="s">
        <v>170</v>
      </c>
      <c r="I644" t="s">
        <v>253</v>
      </c>
    </row>
    <row r="645" spans="1:9">
      <c r="A645" s="50">
        <v>45969</v>
      </c>
      <c r="B645" s="51">
        <v>0.8462037037037037</v>
      </c>
      <c r="C645" t="s">
        <v>172</v>
      </c>
      <c r="D645" t="s">
        <v>195</v>
      </c>
      <c r="E645" t="s">
        <v>173</v>
      </c>
      <c r="F645" t="s">
        <v>482</v>
      </c>
      <c r="G645">
        <v>-10000</v>
      </c>
      <c r="H645" t="s">
        <v>170</v>
      </c>
      <c r="I645" t="s">
        <v>61</v>
      </c>
    </row>
    <row r="646" spans="1:9">
      <c r="A646" s="50">
        <v>45969</v>
      </c>
      <c r="B646" s="51">
        <v>0.7777893518518518</v>
      </c>
      <c r="C646" t="s">
        <v>167</v>
      </c>
      <c r="D646" t="s">
        <v>47</v>
      </c>
      <c r="E646" t="s">
        <v>183</v>
      </c>
      <c r="F646" t="s">
        <v>483</v>
      </c>
      <c r="G646">
        <v>-4500</v>
      </c>
      <c r="H646" t="s">
        <v>170</v>
      </c>
      <c r="I646" t="s">
        <v>171</v>
      </c>
    </row>
    <row r="647" spans="1:9">
      <c r="A647" s="50">
        <v>45969</v>
      </c>
      <c r="B647" s="51">
        <v>0.7416319444444445</v>
      </c>
      <c r="C647" t="s">
        <v>167</v>
      </c>
      <c r="D647" t="s">
        <v>33</v>
      </c>
      <c r="E647" t="s">
        <v>385</v>
      </c>
      <c r="F647" t="s">
        <v>484</v>
      </c>
      <c r="G647">
        <v>-1000</v>
      </c>
      <c r="H647" t="s">
        <v>170</v>
      </c>
      <c r="I647" t="s">
        <v>171</v>
      </c>
    </row>
    <row r="648" spans="1:9">
      <c r="A648" s="50">
        <v>45968</v>
      </c>
      <c r="B648" s="51">
        <v>0.7255324074074074</v>
      </c>
      <c r="C648" t="s">
        <v>167</v>
      </c>
      <c r="D648" t="s">
        <v>40</v>
      </c>
      <c r="E648" t="s">
        <v>261</v>
      </c>
      <c r="F648" t="s">
        <v>262</v>
      </c>
      <c r="G648">
        <v>-29500</v>
      </c>
      <c r="H648" t="s">
        <v>170</v>
      </c>
      <c r="I648" t="s">
        <v>243</v>
      </c>
    </row>
    <row r="649" spans="1:9">
      <c r="A649" s="50">
        <v>45968</v>
      </c>
      <c r="B649" s="51">
        <v>0.7234027777777777</v>
      </c>
      <c r="C649" t="s">
        <v>167</v>
      </c>
      <c r="D649" t="s">
        <v>40</v>
      </c>
      <c r="E649" t="s">
        <v>261</v>
      </c>
      <c r="F649" t="s">
        <v>262</v>
      </c>
      <c r="G649">
        <v>-24000</v>
      </c>
      <c r="H649" t="s">
        <v>170</v>
      </c>
      <c r="I649" t="s">
        <v>243</v>
      </c>
    </row>
    <row r="650" spans="1:9">
      <c r="A650" s="50">
        <v>45968</v>
      </c>
      <c r="B650" s="51">
        <v>0.7133217592592592</v>
      </c>
      <c r="C650" t="s">
        <v>167</v>
      </c>
      <c r="D650" t="s">
        <v>43</v>
      </c>
      <c r="E650" t="s">
        <v>203</v>
      </c>
      <c r="F650" t="s">
        <v>485</v>
      </c>
      <c r="G650">
        <v>-6000</v>
      </c>
      <c r="H650" t="s">
        <v>170</v>
      </c>
      <c r="I650" t="s">
        <v>171</v>
      </c>
    </row>
    <row r="651" spans="1:9">
      <c r="A651" s="50">
        <v>45968</v>
      </c>
      <c r="B651" s="51">
        <v>0.6835416666666667</v>
      </c>
      <c r="C651" t="s">
        <v>167</v>
      </c>
      <c r="D651" t="s">
        <v>38</v>
      </c>
      <c r="E651" t="s">
        <v>221</v>
      </c>
      <c r="F651" t="s">
        <v>222</v>
      </c>
      <c r="G651">
        <v>-2000</v>
      </c>
      <c r="H651" t="s">
        <v>170</v>
      </c>
      <c r="I651" t="s">
        <v>171</v>
      </c>
    </row>
    <row r="652" spans="1:9">
      <c r="A652" s="50">
        <v>45968</v>
      </c>
      <c r="B652" s="51">
        <v>0.01231481481481481</v>
      </c>
      <c r="C652" t="s">
        <v>167</v>
      </c>
      <c r="D652" t="s">
        <v>41</v>
      </c>
      <c r="E652" t="s">
        <v>452</v>
      </c>
      <c r="F652" t="s">
        <v>453</v>
      </c>
      <c r="G652">
        <v>-117424</v>
      </c>
      <c r="H652" t="s">
        <v>170</v>
      </c>
      <c r="I652" t="s">
        <v>253</v>
      </c>
    </row>
    <row r="653" spans="1:9">
      <c r="A653" s="50">
        <v>45968</v>
      </c>
      <c r="B653" s="51">
        <v>0.01229166666666667</v>
      </c>
      <c r="C653" t="s">
        <v>172</v>
      </c>
      <c r="D653" t="s">
        <v>172</v>
      </c>
      <c r="E653" t="s">
        <v>173</v>
      </c>
      <c r="F653" t="s">
        <v>265</v>
      </c>
      <c r="G653">
        <v>-109292</v>
      </c>
      <c r="H653" t="s">
        <v>170</v>
      </c>
      <c r="I653" t="s">
        <v>61</v>
      </c>
    </row>
    <row r="654" spans="1:9">
      <c r="A654" s="50">
        <v>45967</v>
      </c>
      <c r="B654" s="51">
        <v>0.9109490740740741</v>
      </c>
      <c r="C654" t="s">
        <v>167</v>
      </c>
      <c r="D654" t="s">
        <v>38</v>
      </c>
      <c r="E654" t="s">
        <v>181</v>
      </c>
      <c r="F654" t="s">
        <v>341</v>
      </c>
      <c r="G654">
        <v>-10600</v>
      </c>
      <c r="H654" t="s">
        <v>170</v>
      </c>
      <c r="I654" t="s">
        <v>243</v>
      </c>
    </row>
    <row r="655" spans="1:9">
      <c r="A655" s="50">
        <v>45967</v>
      </c>
      <c r="B655" s="51">
        <v>0.5435532407407407</v>
      </c>
      <c r="C655" t="s">
        <v>172</v>
      </c>
      <c r="D655" t="s">
        <v>172</v>
      </c>
      <c r="E655" t="s">
        <v>173</v>
      </c>
      <c r="F655" t="s">
        <v>486</v>
      </c>
      <c r="G655">
        <v>8132</v>
      </c>
      <c r="H655" t="s">
        <v>170</v>
      </c>
      <c r="I655" t="s">
        <v>175</v>
      </c>
    </row>
    <row r="656" spans="1:9">
      <c r="A656" s="50">
        <v>45966</v>
      </c>
      <c r="B656" s="51">
        <v>0.8674884259259259</v>
      </c>
      <c r="C656" t="s">
        <v>167</v>
      </c>
      <c r="D656" t="s">
        <v>42</v>
      </c>
      <c r="E656" t="s">
        <v>188</v>
      </c>
      <c r="F656" t="s">
        <v>231</v>
      </c>
      <c r="G656">
        <v>-14900</v>
      </c>
      <c r="H656" t="s">
        <v>170</v>
      </c>
      <c r="I656" t="s">
        <v>187</v>
      </c>
    </row>
    <row r="657" spans="1:9">
      <c r="A657" s="50">
        <v>45966</v>
      </c>
      <c r="B657" s="51">
        <v>0.5963425925925926</v>
      </c>
      <c r="C657" t="s">
        <v>172</v>
      </c>
      <c r="D657" t="s">
        <v>172</v>
      </c>
      <c r="E657" t="s">
        <v>173</v>
      </c>
      <c r="F657" t="s">
        <v>265</v>
      </c>
      <c r="G657">
        <v>-100000</v>
      </c>
      <c r="H657" t="s">
        <v>170</v>
      </c>
      <c r="I657" t="s">
        <v>61</v>
      </c>
    </row>
    <row r="658" spans="1:9">
      <c r="A658" s="50">
        <v>45966</v>
      </c>
      <c r="B658" s="51">
        <v>0.4473726851851852</v>
      </c>
      <c r="C658" t="s">
        <v>167</v>
      </c>
      <c r="D658" t="s">
        <v>42</v>
      </c>
      <c r="E658" t="s">
        <v>188</v>
      </c>
      <c r="F658" t="s">
        <v>487</v>
      </c>
      <c r="G658">
        <v>-7890</v>
      </c>
      <c r="H658" t="s">
        <v>170</v>
      </c>
      <c r="I658" t="s">
        <v>243</v>
      </c>
    </row>
    <row r="659" spans="1:9">
      <c r="A659" s="50">
        <v>45966</v>
      </c>
      <c r="B659" s="51">
        <v>0.4455555555555555</v>
      </c>
      <c r="C659" t="s">
        <v>172</v>
      </c>
      <c r="D659" t="s">
        <v>172</v>
      </c>
      <c r="E659" t="s">
        <v>173</v>
      </c>
      <c r="F659" t="s">
        <v>202</v>
      </c>
      <c r="G659">
        <v>-7900</v>
      </c>
      <c r="H659" t="s">
        <v>170</v>
      </c>
      <c r="I659" t="s">
        <v>60</v>
      </c>
    </row>
    <row r="660" spans="1:9">
      <c r="A660" s="50">
        <v>45965</v>
      </c>
      <c r="B660" s="51">
        <v>0.5258217592592592</v>
      </c>
      <c r="C660" t="s">
        <v>167</v>
      </c>
      <c r="D660" t="s">
        <v>40</v>
      </c>
      <c r="E660" t="s">
        <v>176</v>
      </c>
      <c r="F660" t="s">
        <v>205</v>
      </c>
      <c r="G660">
        <v>-8000</v>
      </c>
      <c r="H660" t="s">
        <v>170</v>
      </c>
      <c r="I660" t="s">
        <v>243</v>
      </c>
    </row>
    <row r="661" spans="1:9">
      <c r="A661" s="50">
        <v>45965</v>
      </c>
      <c r="B661" s="51">
        <v>0.2729861111111111</v>
      </c>
      <c r="C661" t="s">
        <v>167</v>
      </c>
      <c r="D661" t="s">
        <v>42</v>
      </c>
      <c r="E661" t="s">
        <v>338</v>
      </c>
      <c r="F661" t="s">
        <v>339</v>
      </c>
      <c r="G661">
        <v>-12500</v>
      </c>
      <c r="H661" t="s">
        <v>170</v>
      </c>
      <c r="I661" t="s">
        <v>187</v>
      </c>
    </row>
    <row r="662" spans="1:9">
      <c r="A662" s="50">
        <v>45965</v>
      </c>
      <c r="B662" s="51">
        <v>0.1563194444444445</v>
      </c>
      <c r="C662" t="s">
        <v>167</v>
      </c>
      <c r="D662" t="s">
        <v>42</v>
      </c>
      <c r="E662" t="s">
        <v>188</v>
      </c>
      <c r="F662" t="s">
        <v>252</v>
      </c>
      <c r="G662">
        <v>-13500</v>
      </c>
      <c r="H662" t="s">
        <v>170</v>
      </c>
      <c r="I662" t="s">
        <v>253</v>
      </c>
    </row>
    <row r="663" spans="1:9">
      <c r="A663" s="50">
        <v>45964</v>
      </c>
      <c r="B663" s="51">
        <v>0.8424189814814815</v>
      </c>
      <c r="C663" t="s">
        <v>167</v>
      </c>
      <c r="D663" t="s">
        <v>33</v>
      </c>
      <c r="E663" t="s">
        <v>385</v>
      </c>
      <c r="F663" t="s">
        <v>386</v>
      </c>
      <c r="G663">
        <v>-53500</v>
      </c>
      <c r="H663" t="s">
        <v>170</v>
      </c>
      <c r="I663" t="s">
        <v>237</v>
      </c>
    </row>
    <row r="664" spans="1:9">
      <c r="A664" s="50">
        <v>45964</v>
      </c>
      <c r="B664" s="51">
        <v>0.8410416666666667</v>
      </c>
      <c r="C664" t="s">
        <v>167</v>
      </c>
      <c r="D664" t="s">
        <v>33</v>
      </c>
      <c r="E664" t="s">
        <v>385</v>
      </c>
      <c r="F664" t="s">
        <v>386</v>
      </c>
      <c r="G664">
        <v>-43300</v>
      </c>
      <c r="H664" t="s">
        <v>170</v>
      </c>
      <c r="I664" t="s">
        <v>237</v>
      </c>
    </row>
    <row r="665" spans="1:9">
      <c r="A665" s="50">
        <v>45964</v>
      </c>
      <c r="B665" s="51">
        <v>0.5495486111111111</v>
      </c>
      <c r="C665" t="s">
        <v>167</v>
      </c>
      <c r="D665" t="s">
        <v>40</v>
      </c>
      <c r="E665" t="s">
        <v>176</v>
      </c>
      <c r="F665" t="s">
        <v>422</v>
      </c>
      <c r="G665">
        <v>-9900</v>
      </c>
      <c r="H665" t="s">
        <v>170</v>
      </c>
      <c r="I665" t="s">
        <v>171</v>
      </c>
    </row>
    <row r="666" spans="1:9">
      <c r="A666" s="50">
        <v>45964</v>
      </c>
      <c r="B666" s="51">
        <v>0.4250347222222222</v>
      </c>
      <c r="C666" t="s">
        <v>167</v>
      </c>
      <c r="D666" t="s">
        <v>42</v>
      </c>
      <c r="E666" t="s">
        <v>188</v>
      </c>
      <c r="F666" t="s">
        <v>256</v>
      </c>
      <c r="G666">
        <v>-2990</v>
      </c>
      <c r="H666" t="s">
        <v>170</v>
      </c>
      <c r="I666" t="s">
        <v>237</v>
      </c>
    </row>
    <row r="667" spans="1:9">
      <c r="A667" s="50">
        <v>45964</v>
      </c>
      <c r="B667" s="51">
        <v>0.3490625</v>
      </c>
      <c r="C667" t="s">
        <v>167</v>
      </c>
      <c r="D667" t="s">
        <v>35</v>
      </c>
      <c r="E667" t="s">
        <v>225</v>
      </c>
      <c r="F667" t="s">
        <v>226</v>
      </c>
      <c r="G667">
        <v>-3500</v>
      </c>
      <c r="H667" t="s">
        <v>170</v>
      </c>
      <c r="I667" t="s">
        <v>171</v>
      </c>
    </row>
    <row r="668" spans="1:9">
      <c r="A668" s="50">
        <v>45963</v>
      </c>
      <c r="B668" s="51">
        <v>0.7730902777777777</v>
      </c>
      <c r="C668" t="s">
        <v>167</v>
      </c>
      <c r="D668" t="s">
        <v>40</v>
      </c>
      <c r="E668" t="s">
        <v>176</v>
      </c>
      <c r="F668" t="s">
        <v>488</v>
      </c>
      <c r="G668">
        <v>-44000</v>
      </c>
      <c r="H668" t="s">
        <v>170</v>
      </c>
      <c r="I668" t="s">
        <v>171</v>
      </c>
    </row>
    <row r="669" spans="1:9">
      <c r="A669" s="50">
        <v>45963</v>
      </c>
      <c r="B669" s="51">
        <v>0.4836689814814815</v>
      </c>
      <c r="C669" t="s">
        <v>167</v>
      </c>
      <c r="D669" t="s">
        <v>42</v>
      </c>
      <c r="E669" t="s">
        <v>338</v>
      </c>
      <c r="F669" t="s">
        <v>339</v>
      </c>
      <c r="G669">
        <v>-29000</v>
      </c>
      <c r="H669" t="s">
        <v>170</v>
      </c>
      <c r="I669" t="s">
        <v>187</v>
      </c>
    </row>
    <row r="670" spans="1:9">
      <c r="A670" s="50">
        <v>45962</v>
      </c>
      <c r="B670" s="51">
        <v>0.8126157407407407</v>
      </c>
      <c r="C670" t="s">
        <v>167</v>
      </c>
      <c r="D670" t="s">
        <v>38</v>
      </c>
      <c r="E670" t="s">
        <v>181</v>
      </c>
      <c r="F670" t="s">
        <v>192</v>
      </c>
      <c r="G670">
        <v>-5900</v>
      </c>
      <c r="H670" t="s">
        <v>170</v>
      </c>
      <c r="I670" t="s">
        <v>171</v>
      </c>
    </row>
    <row r="671" spans="1:9">
      <c r="A671" s="50">
        <v>45962</v>
      </c>
      <c r="B671" s="51">
        <v>0.6882060185185185</v>
      </c>
      <c r="C671" t="s">
        <v>167</v>
      </c>
      <c r="D671" t="s">
        <v>34</v>
      </c>
      <c r="E671" t="s">
        <v>208</v>
      </c>
      <c r="F671" t="s">
        <v>308</v>
      </c>
      <c r="G671">
        <v>-23000</v>
      </c>
      <c r="H671" t="s">
        <v>170</v>
      </c>
      <c r="I671" t="s">
        <v>237</v>
      </c>
    </row>
    <row r="672" spans="1:9">
      <c r="A672" s="50">
        <v>45962</v>
      </c>
      <c r="B672" s="51">
        <v>0.4776157407407408</v>
      </c>
      <c r="C672" t="s">
        <v>167</v>
      </c>
      <c r="D672" t="s">
        <v>46</v>
      </c>
      <c r="E672" t="s">
        <v>168</v>
      </c>
      <c r="F672" t="s">
        <v>418</v>
      </c>
      <c r="G672">
        <v>-4100</v>
      </c>
      <c r="H672" t="s">
        <v>170</v>
      </c>
      <c r="I672" t="s">
        <v>243</v>
      </c>
    </row>
    <row r="673" spans="1:9">
      <c r="A673" s="50">
        <v>45962</v>
      </c>
      <c r="B673" s="51">
        <v>0.3973726851851852</v>
      </c>
      <c r="C673" t="s">
        <v>172</v>
      </c>
      <c r="D673" t="s">
        <v>172</v>
      </c>
      <c r="E673" t="s">
        <v>173</v>
      </c>
      <c r="F673" t="s">
        <v>265</v>
      </c>
      <c r="G673">
        <v>-20000</v>
      </c>
      <c r="H673" t="s">
        <v>170</v>
      </c>
      <c r="I673" t="s">
        <v>61</v>
      </c>
    </row>
    <row r="674" spans="1:9">
      <c r="A674" s="50">
        <v>45961</v>
      </c>
      <c r="B674" s="51">
        <v>0.8495370370370371</v>
      </c>
      <c r="C674" t="s">
        <v>167</v>
      </c>
      <c r="D674" t="s">
        <v>35</v>
      </c>
      <c r="E674" t="s">
        <v>360</v>
      </c>
      <c r="F674" t="s">
        <v>252</v>
      </c>
      <c r="G674">
        <v>-43840</v>
      </c>
      <c r="H674" t="s">
        <v>170</v>
      </c>
      <c r="I674" t="s">
        <v>253</v>
      </c>
    </row>
    <row r="675" spans="1:9">
      <c r="A675" s="50">
        <v>45961</v>
      </c>
      <c r="B675" s="51">
        <v>0.8479050925925926</v>
      </c>
      <c r="C675" t="s">
        <v>167</v>
      </c>
      <c r="D675" t="s">
        <v>35</v>
      </c>
      <c r="E675" t="s">
        <v>360</v>
      </c>
      <c r="F675" t="s">
        <v>252</v>
      </c>
      <c r="G675">
        <v>-28500</v>
      </c>
      <c r="H675" t="s">
        <v>170</v>
      </c>
      <c r="I675" t="s">
        <v>253</v>
      </c>
    </row>
    <row r="676" spans="1:9">
      <c r="A676" s="50">
        <v>45961</v>
      </c>
      <c r="B676" s="51">
        <v>0.7671527777777778</v>
      </c>
      <c r="C676" t="s">
        <v>167</v>
      </c>
      <c r="D676" t="s">
        <v>40</v>
      </c>
      <c r="E676" t="s">
        <v>261</v>
      </c>
      <c r="F676" t="s">
        <v>262</v>
      </c>
      <c r="G676">
        <v>-28000</v>
      </c>
      <c r="H676" t="s">
        <v>170</v>
      </c>
      <c r="I676" t="s">
        <v>243</v>
      </c>
    </row>
    <row r="677" spans="1:9">
      <c r="A677" s="50">
        <v>45961</v>
      </c>
      <c r="B677" s="51">
        <v>0.2625231481481481</v>
      </c>
      <c r="C677" t="s">
        <v>167</v>
      </c>
      <c r="D677" t="s">
        <v>33</v>
      </c>
      <c r="E677" t="s">
        <v>282</v>
      </c>
      <c r="F677" t="s">
        <v>287</v>
      </c>
      <c r="G677">
        <v>-48150</v>
      </c>
      <c r="H677" t="s">
        <v>170</v>
      </c>
      <c r="I677" t="s">
        <v>243</v>
      </c>
    </row>
    <row r="678" spans="1:9">
      <c r="A678" s="50">
        <v>45961</v>
      </c>
      <c r="B678" s="51">
        <v>0.2469560185185185</v>
      </c>
      <c r="C678" t="s">
        <v>167</v>
      </c>
      <c r="D678" t="s">
        <v>33</v>
      </c>
      <c r="E678" t="s">
        <v>282</v>
      </c>
      <c r="F678" t="s">
        <v>287</v>
      </c>
      <c r="G678">
        <v>-32700</v>
      </c>
      <c r="H678" t="s">
        <v>170</v>
      </c>
      <c r="I678" t="s">
        <v>243</v>
      </c>
    </row>
    <row r="679" spans="1:9">
      <c r="A679" s="50">
        <v>45961</v>
      </c>
      <c r="B679" s="51">
        <v>0</v>
      </c>
      <c r="C679" t="s">
        <v>167</v>
      </c>
      <c r="D679" t="s">
        <v>34</v>
      </c>
      <c r="E679" t="s">
        <v>206</v>
      </c>
      <c r="F679" t="s">
        <v>489</v>
      </c>
      <c r="G679">
        <v>-200</v>
      </c>
      <c r="H679" t="s">
        <v>170</v>
      </c>
      <c r="I679" t="s">
        <v>187</v>
      </c>
    </row>
    <row r="680" spans="1:9">
      <c r="A680" s="50">
        <v>45959</v>
      </c>
      <c r="B680" s="51">
        <v>0.9736574074074074</v>
      </c>
      <c r="C680" t="s">
        <v>167</v>
      </c>
      <c r="D680" t="s">
        <v>42</v>
      </c>
      <c r="E680" t="s">
        <v>338</v>
      </c>
      <c r="F680" t="s">
        <v>339</v>
      </c>
      <c r="G680">
        <v>-6600</v>
      </c>
      <c r="H680" t="s">
        <v>170</v>
      </c>
      <c r="I680" t="s">
        <v>187</v>
      </c>
    </row>
    <row r="681" spans="1:9">
      <c r="A681" s="50">
        <v>45959</v>
      </c>
      <c r="B681" s="51">
        <v>0.549050925925926</v>
      </c>
      <c r="C681" t="s">
        <v>167</v>
      </c>
      <c r="D681" t="s">
        <v>40</v>
      </c>
      <c r="E681" t="s">
        <v>383</v>
      </c>
      <c r="F681" t="s">
        <v>384</v>
      </c>
      <c r="G681">
        <v>-10000</v>
      </c>
      <c r="H681" t="s">
        <v>170</v>
      </c>
      <c r="I681" t="s">
        <v>243</v>
      </c>
    </row>
    <row r="682" spans="1:9">
      <c r="A682" s="50">
        <v>45959</v>
      </c>
      <c r="B682" s="51">
        <v>0.4035532407407407</v>
      </c>
      <c r="C682" t="s">
        <v>167</v>
      </c>
      <c r="D682" t="s">
        <v>42</v>
      </c>
      <c r="E682" t="s">
        <v>217</v>
      </c>
      <c r="F682" t="s">
        <v>471</v>
      </c>
      <c r="G682">
        <v>-49800</v>
      </c>
      <c r="H682" t="s">
        <v>170</v>
      </c>
      <c r="I682" t="s">
        <v>187</v>
      </c>
    </row>
    <row r="683" spans="1:9">
      <c r="A683" s="50">
        <v>45958</v>
      </c>
      <c r="B683" s="51">
        <v>0.8728587962962963</v>
      </c>
      <c r="C683" t="s">
        <v>167</v>
      </c>
      <c r="D683" t="s">
        <v>38</v>
      </c>
      <c r="E683" t="s">
        <v>181</v>
      </c>
      <c r="F683" t="s">
        <v>192</v>
      </c>
      <c r="G683">
        <v>-1500</v>
      </c>
      <c r="H683" t="s">
        <v>170</v>
      </c>
      <c r="I683" t="s">
        <v>171</v>
      </c>
    </row>
    <row r="684" spans="1:9">
      <c r="A684" s="50">
        <v>45958</v>
      </c>
      <c r="B684" s="51">
        <v>0.5283217592592593</v>
      </c>
      <c r="C684" t="s">
        <v>167</v>
      </c>
      <c r="D684" t="s">
        <v>40</v>
      </c>
      <c r="E684" t="s">
        <v>176</v>
      </c>
      <c r="F684" t="s">
        <v>470</v>
      </c>
      <c r="G684">
        <v>-13000</v>
      </c>
      <c r="H684" t="s">
        <v>170</v>
      </c>
      <c r="I684" t="s">
        <v>243</v>
      </c>
    </row>
    <row r="685" spans="1:9">
      <c r="A685" s="50">
        <v>45957</v>
      </c>
      <c r="B685" s="51">
        <v>0.5608217592592593</v>
      </c>
      <c r="C685" t="s">
        <v>172</v>
      </c>
      <c r="D685" t="s">
        <v>172</v>
      </c>
      <c r="E685" t="s">
        <v>173</v>
      </c>
      <c r="F685" t="s">
        <v>265</v>
      </c>
      <c r="G685">
        <v>-10000</v>
      </c>
      <c r="H685" t="s">
        <v>170</v>
      </c>
      <c r="I685" t="s">
        <v>61</v>
      </c>
    </row>
    <row r="686" spans="1:9">
      <c r="A686" s="50">
        <v>45956</v>
      </c>
      <c r="B686" s="51">
        <v>0.8097916666666667</v>
      </c>
      <c r="C686" t="s">
        <v>172</v>
      </c>
      <c r="D686" t="s">
        <v>172</v>
      </c>
      <c r="E686" t="s">
        <v>173</v>
      </c>
      <c r="F686" t="s">
        <v>265</v>
      </c>
      <c r="G686">
        <v>-77040</v>
      </c>
      <c r="H686" t="s">
        <v>170</v>
      </c>
      <c r="I686" t="s">
        <v>61</v>
      </c>
    </row>
    <row r="687" spans="1:9">
      <c r="A687" s="50">
        <v>45956</v>
      </c>
      <c r="B687" s="51">
        <v>0.8097800925925925</v>
      </c>
      <c r="C687" t="s">
        <v>172</v>
      </c>
      <c r="D687" t="s">
        <v>195</v>
      </c>
      <c r="E687" t="s">
        <v>173</v>
      </c>
      <c r="F687" t="s">
        <v>264</v>
      </c>
      <c r="G687">
        <v>77040</v>
      </c>
      <c r="H687" t="s">
        <v>170</v>
      </c>
      <c r="I687" t="s">
        <v>175</v>
      </c>
    </row>
    <row r="688" spans="1:9">
      <c r="A688" s="50">
        <v>45956</v>
      </c>
      <c r="B688" s="51">
        <v>0.8097800925925925</v>
      </c>
      <c r="C688" t="s">
        <v>172</v>
      </c>
      <c r="D688" t="s">
        <v>172</v>
      </c>
      <c r="E688" t="s">
        <v>173</v>
      </c>
      <c r="F688" t="s">
        <v>490</v>
      </c>
      <c r="G688">
        <v>-84500</v>
      </c>
      <c r="H688" t="s">
        <v>170</v>
      </c>
      <c r="I688" t="s">
        <v>175</v>
      </c>
    </row>
    <row r="689" spans="1:9">
      <c r="A689" s="50">
        <v>45956</v>
      </c>
      <c r="B689" s="51">
        <v>0.1040509259259259</v>
      </c>
      <c r="C689" t="s">
        <v>167</v>
      </c>
      <c r="D689" t="s">
        <v>46</v>
      </c>
      <c r="E689" t="s">
        <v>491</v>
      </c>
      <c r="F689" t="s">
        <v>492</v>
      </c>
      <c r="G689">
        <v>-6100</v>
      </c>
      <c r="H689" t="s">
        <v>170</v>
      </c>
      <c r="I689" t="s">
        <v>171</v>
      </c>
    </row>
    <row r="690" spans="1:9">
      <c r="A690" s="50">
        <v>45955</v>
      </c>
      <c r="B690" s="51">
        <v>0.5460416666666666</v>
      </c>
      <c r="C690" t="s">
        <v>167</v>
      </c>
      <c r="D690" t="s">
        <v>46</v>
      </c>
      <c r="E690" t="s">
        <v>168</v>
      </c>
      <c r="F690" t="s">
        <v>418</v>
      </c>
      <c r="G690">
        <v>-3600</v>
      </c>
      <c r="H690" t="s">
        <v>170</v>
      </c>
      <c r="I690" t="s">
        <v>243</v>
      </c>
    </row>
    <row r="691" spans="1:9">
      <c r="A691" s="50">
        <v>45955</v>
      </c>
      <c r="B691" s="51">
        <v>0.5374189814814815</v>
      </c>
      <c r="C691" t="s">
        <v>167</v>
      </c>
      <c r="D691" t="s">
        <v>40</v>
      </c>
      <c r="E691" t="s">
        <v>261</v>
      </c>
      <c r="F691" t="s">
        <v>262</v>
      </c>
      <c r="G691">
        <v>-43250</v>
      </c>
      <c r="H691" t="s">
        <v>170</v>
      </c>
      <c r="I691" t="s">
        <v>243</v>
      </c>
    </row>
    <row r="692" spans="1:9">
      <c r="A692" s="50">
        <v>45955</v>
      </c>
      <c r="B692" s="51">
        <v>0.2413194444444444</v>
      </c>
      <c r="C692" t="s">
        <v>233</v>
      </c>
      <c r="D692" t="s">
        <v>28</v>
      </c>
      <c r="E692" t="s">
        <v>173</v>
      </c>
      <c r="F692" t="s">
        <v>278</v>
      </c>
      <c r="G692">
        <v>6</v>
      </c>
      <c r="H692" t="s">
        <v>170</v>
      </c>
      <c r="I692" t="s">
        <v>60</v>
      </c>
    </row>
    <row r="693" spans="1:9">
      <c r="A693" s="50">
        <v>45954</v>
      </c>
      <c r="B693" s="51">
        <v>0.7565393518518518</v>
      </c>
      <c r="C693" t="s">
        <v>172</v>
      </c>
      <c r="D693" t="s">
        <v>195</v>
      </c>
      <c r="E693" t="s">
        <v>173</v>
      </c>
      <c r="F693" t="s">
        <v>7</v>
      </c>
      <c r="G693">
        <v>-1430000</v>
      </c>
      <c r="H693" t="s">
        <v>170</v>
      </c>
      <c r="I693" t="s">
        <v>59</v>
      </c>
    </row>
    <row r="694" spans="1:9">
      <c r="A694" s="50">
        <v>45954</v>
      </c>
      <c r="B694" s="51">
        <v>0.7565393518518518</v>
      </c>
      <c r="C694" t="s">
        <v>172</v>
      </c>
      <c r="D694" t="s">
        <v>195</v>
      </c>
      <c r="E694" t="s">
        <v>173</v>
      </c>
      <c r="F694" t="s">
        <v>7</v>
      </c>
      <c r="G694">
        <v>1430000</v>
      </c>
      <c r="H694" t="s">
        <v>170</v>
      </c>
      <c r="I694" t="s">
        <v>61</v>
      </c>
    </row>
    <row r="695" spans="1:9">
      <c r="A695" s="50">
        <v>45954</v>
      </c>
      <c r="B695" s="51">
        <v>0.7562384259259259</v>
      </c>
      <c r="C695" t="s">
        <v>172</v>
      </c>
      <c r="D695" t="s">
        <v>195</v>
      </c>
      <c r="E695" t="s">
        <v>173</v>
      </c>
      <c r="F695" t="s">
        <v>7</v>
      </c>
      <c r="G695">
        <v>-1000000</v>
      </c>
      <c r="H695" t="s">
        <v>170</v>
      </c>
      <c r="I695" t="s">
        <v>59</v>
      </c>
    </row>
    <row r="696" spans="1:9">
      <c r="A696" s="50">
        <v>45954</v>
      </c>
      <c r="B696" s="51">
        <v>0.7557175925925926</v>
      </c>
      <c r="C696" t="s">
        <v>167</v>
      </c>
      <c r="D696" t="s">
        <v>40</v>
      </c>
      <c r="E696" t="s">
        <v>261</v>
      </c>
      <c r="F696" t="s">
        <v>304</v>
      </c>
      <c r="G696">
        <v>-26900</v>
      </c>
      <c r="H696" t="s">
        <v>170</v>
      </c>
      <c r="I696" t="s">
        <v>253</v>
      </c>
    </row>
    <row r="697" spans="1:9">
      <c r="A697" s="50">
        <v>45954</v>
      </c>
      <c r="B697" s="51">
        <v>0.5281481481481481</v>
      </c>
      <c r="C697" t="s">
        <v>167</v>
      </c>
      <c r="D697" t="s">
        <v>40</v>
      </c>
      <c r="E697" t="s">
        <v>176</v>
      </c>
      <c r="F697" t="s">
        <v>470</v>
      </c>
      <c r="G697">
        <v>-11000</v>
      </c>
      <c r="H697" t="s">
        <v>170</v>
      </c>
      <c r="I697" t="s">
        <v>243</v>
      </c>
    </row>
    <row r="698" spans="1:9">
      <c r="A698" s="50">
        <v>45954</v>
      </c>
      <c r="B698" s="51">
        <v>0.5248842592592593</v>
      </c>
      <c r="C698" t="s">
        <v>233</v>
      </c>
      <c r="D698" t="s">
        <v>29</v>
      </c>
      <c r="E698" t="s">
        <v>173</v>
      </c>
      <c r="F698" t="s">
        <v>286</v>
      </c>
      <c r="G698">
        <v>3128900</v>
      </c>
      <c r="H698" t="s">
        <v>170</v>
      </c>
      <c r="I698" t="s">
        <v>59</v>
      </c>
    </row>
    <row r="699" spans="1:9">
      <c r="A699" s="50">
        <v>45953</v>
      </c>
      <c r="B699" s="51">
        <v>0.5274189814814815</v>
      </c>
      <c r="C699" t="s">
        <v>167</v>
      </c>
      <c r="D699" t="s">
        <v>35</v>
      </c>
      <c r="E699" t="s">
        <v>271</v>
      </c>
      <c r="F699" t="s">
        <v>469</v>
      </c>
      <c r="G699">
        <v>-9900</v>
      </c>
      <c r="H699" t="s">
        <v>170</v>
      </c>
      <c r="I699" t="s">
        <v>243</v>
      </c>
    </row>
    <row r="700" spans="1:9">
      <c r="A700" s="50">
        <v>45953</v>
      </c>
      <c r="B700" s="51">
        <v>0.4394212962962963</v>
      </c>
      <c r="C700" t="s">
        <v>172</v>
      </c>
      <c r="D700" t="s">
        <v>172</v>
      </c>
      <c r="E700" t="s">
        <v>173</v>
      </c>
      <c r="F700" t="s">
        <v>202</v>
      </c>
      <c r="G700">
        <v>-4780</v>
      </c>
      <c r="H700" t="s">
        <v>170</v>
      </c>
      <c r="I700" t="s">
        <v>60</v>
      </c>
    </row>
    <row r="701" spans="1:9">
      <c r="A701" s="50">
        <v>45952</v>
      </c>
      <c r="B701" s="51">
        <v>0.9829976851851852</v>
      </c>
      <c r="C701" t="s">
        <v>172</v>
      </c>
      <c r="D701" t="s">
        <v>195</v>
      </c>
      <c r="E701" t="s">
        <v>173</v>
      </c>
      <c r="F701" t="s">
        <v>264</v>
      </c>
      <c r="G701">
        <v>10000</v>
      </c>
      <c r="H701" t="s">
        <v>170</v>
      </c>
      <c r="I701" t="s">
        <v>175</v>
      </c>
    </row>
    <row r="702" spans="1:9">
      <c r="A702" s="50">
        <v>45952</v>
      </c>
      <c r="B702" s="51">
        <v>0.9829976851851852</v>
      </c>
      <c r="C702" t="s">
        <v>167</v>
      </c>
      <c r="D702" t="s">
        <v>35</v>
      </c>
      <c r="E702" t="s">
        <v>360</v>
      </c>
      <c r="F702" t="s">
        <v>252</v>
      </c>
      <c r="G702">
        <v>-2540</v>
      </c>
      <c r="H702" t="s">
        <v>170</v>
      </c>
      <c r="I702" t="s">
        <v>253</v>
      </c>
    </row>
    <row r="703" spans="1:9">
      <c r="A703" s="50">
        <v>45952</v>
      </c>
      <c r="B703" s="51">
        <v>0.9829976851851852</v>
      </c>
      <c r="C703" t="s">
        <v>172</v>
      </c>
      <c r="D703" t="s">
        <v>195</v>
      </c>
      <c r="E703" t="s">
        <v>173</v>
      </c>
      <c r="F703" t="s">
        <v>265</v>
      </c>
      <c r="G703">
        <v>-10000</v>
      </c>
      <c r="H703" t="s">
        <v>170</v>
      </c>
      <c r="I703" t="s">
        <v>61</v>
      </c>
    </row>
    <row r="704" spans="1:9">
      <c r="A704" s="50">
        <v>45951</v>
      </c>
      <c r="B704" s="51">
        <v>0.7788310185185185</v>
      </c>
      <c r="C704" t="s">
        <v>167</v>
      </c>
      <c r="D704" t="s">
        <v>40</v>
      </c>
      <c r="E704" t="s">
        <v>261</v>
      </c>
      <c r="F704" t="s">
        <v>304</v>
      </c>
      <c r="G704">
        <v>-14000</v>
      </c>
      <c r="H704" t="s">
        <v>170</v>
      </c>
      <c r="I704" t="s">
        <v>253</v>
      </c>
    </row>
    <row r="705" spans="1:9">
      <c r="A705" s="50">
        <v>45951</v>
      </c>
      <c r="B705" s="51">
        <v>0.5436111111111112</v>
      </c>
      <c r="C705" t="s">
        <v>167</v>
      </c>
      <c r="D705" t="s">
        <v>35</v>
      </c>
      <c r="E705" t="s">
        <v>225</v>
      </c>
      <c r="F705" t="s">
        <v>226</v>
      </c>
      <c r="G705">
        <v>-3500</v>
      </c>
      <c r="H705" t="s">
        <v>170</v>
      </c>
      <c r="I705" t="s">
        <v>171</v>
      </c>
    </row>
    <row r="706" spans="1:9">
      <c r="A706" s="50">
        <v>45951</v>
      </c>
      <c r="B706" s="51">
        <v>0.5247453703703704</v>
      </c>
      <c r="C706" t="s">
        <v>167</v>
      </c>
      <c r="D706" t="s">
        <v>40</v>
      </c>
      <c r="E706" t="s">
        <v>193</v>
      </c>
      <c r="F706" t="s">
        <v>194</v>
      </c>
      <c r="G706">
        <v>-7500</v>
      </c>
      <c r="H706" t="s">
        <v>170</v>
      </c>
      <c r="I706" t="s">
        <v>171</v>
      </c>
    </row>
    <row r="707" spans="1:9">
      <c r="A707" s="50">
        <v>45951</v>
      </c>
      <c r="B707" s="51">
        <v>0.4941782407407407</v>
      </c>
      <c r="C707" t="s">
        <v>167</v>
      </c>
      <c r="D707" t="s">
        <v>42</v>
      </c>
      <c r="E707" t="s">
        <v>188</v>
      </c>
      <c r="F707" t="s">
        <v>493</v>
      </c>
      <c r="G707">
        <v>-31627</v>
      </c>
      <c r="H707" t="s">
        <v>170</v>
      </c>
      <c r="I707" t="s">
        <v>187</v>
      </c>
    </row>
    <row r="708" spans="1:9">
      <c r="A708" s="50">
        <v>45951</v>
      </c>
      <c r="B708" s="51">
        <v>0.4161921296296296</v>
      </c>
      <c r="C708" t="s">
        <v>167</v>
      </c>
      <c r="D708" t="s">
        <v>42</v>
      </c>
      <c r="E708" t="s">
        <v>235</v>
      </c>
      <c r="F708" t="s">
        <v>247</v>
      </c>
      <c r="G708">
        <v>-53000</v>
      </c>
      <c r="H708" t="s">
        <v>170</v>
      </c>
      <c r="I708" t="s">
        <v>187</v>
      </c>
    </row>
    <row r="709" spans="1:9">
      <c r="A709" s="50">
        <v>45950</v>
      </c>
      <c r="B709" s="51">
        <v>0.7810648148148148</v>
      </c>
      <c r="C709" t="s">
        <v>167</v>
      </c>
      <c r="D709" t="s">
        <v>46</v>
      </c>
      <c r="E709" t="s">
        <v>423</v>
      </c>
      <c r="F709" t="s">
        <v>424</v>
      </c>
      <c r="G709">
        <v>-10600</v>
      </c>
      <c r="H709" t="s">
        <v>170</v>
      </c>
      <c r="I709" t="s">
        <v>171</v>
      </c>
    </row>
    <row r="710" spans="1:9">
      <c r="A710" s="50">
        <v>45950</v>
      </c>
      <c r="B710" s="51">
        <v>0.5630555555555555</v>
      </c>
      <c r="C710" t="s">
        <v>172</v>
      </c>
      <c r="D710" t="s">
        <v>172</v>
      </c>
      <c r="E710" t="s">
        <v>173</v>
      </c>
      <c r="F710" t="s">
        <v>265</v>
      </c>
      <c r="G710">
        <v>-60736</v>
      </c>
      <c r="H710" t="s">
        <v>170</v>
      </c>
      <c r="I710" t="s">
        <v>61</v>
      </c>
    </row>
    <row r="711" spans="1:9">
      <c r="A711" s="50">
        <v>45950</v>
      </c>
      <c r="B711" s="51">
        <v>0.5269560185185185</v>
      </c>
      <c r="C711" t="s">
        <v>167</v>
      </c>
      <c r="D711" t="s">
        <v>40</v>
      </c>
      <c r="E711" t="s">
        <v>176</v>
      </c>
      <c r="F711" t="s">
        <v>205</v>
      </c>
      <c r="G711">
        <v>-9000</v>
      </c>
      <c r="H711" t="s">
        <v>170</v>
      </c>
      <c r="I711" t="s">
        <v>243</v>
      </c>
    </row>
    <row r="712" spans="1:9">
      <c r="A712" s="50">
        <v>45949</v>
      </c>
      <c r="B712" s="51">
        <v>0.5082986111111111</v>
      </c>
      <c r="C712" t="s">
        <v>167</v>
      </c>
      <c r="D712" t="s">
        <v>40</v>
      </c>
      <c r="E712" t="s">
        <v>176</v>
      </c>
      <c r="F712" t="s">
        <v>494</v>
      </c>
      <c r="G712">
        <v>-13300</v>
      </c>
      <c r="H712" t="s">
        <v>170</v>
      </c>
      <c r="I712" t="s">
        <v>171</v>
      </c>
    </row>
    <row r="713" spans="1:9">
      <c r="A713" s="50">
        <v>45949</v>
      </c>
      <c r="B713" s="51">
        <v>0.5009143518518518</v>
      </c>
      <c r="C713" t="s">
        <v>167</v>
      </c>
      <c r="D713" t="s">
        <v>46</v>
      </c>
      <c r="E713" t="s">
        <v>423</v>
      </c>
      <c r="F713" t="s">
        <v>458</v>
      </c>
      <c r="G713">
        <v>-12800</v>
      </c>
      <c r="H713" t="s">
        <v>170</v>
      </c>
      <c r="I713" t="s">
        <v>171</v>
      </c>
    </row>
    <row r="714" spans="1:9">
      <c r="A714" s="50">
        <v>45949</v>
      </c>
      <c r="B714" s="51">
        <v>0.2164814814814815</v>
      </c>
      <c r="C714" t="s">
        <v>167</v>
      </c>
      <c r="D714" t="s">
        <v>42</v>
      </c>
      <c r="E714" t="s">
        <v>235</v>
      </c>
      <c r="F714" t="s">
        <v>353</v>
      </c>
      <c r="G714">
        <v>-62000</v>
      </c>
      <c r="H714" t="s">
        <v>170</v>
      </c>
      <c r="I714" t="s">
        <v>187</v>
      </c>
    </row>
    <row r="715" spans="1:9">
      <c r="A715" s="50">
        <v>45948</v>
      </c>
      <c r="B715" s="51">
        <v>0.8714004629629629</v>
      </c>
      <c r="C715" t="s">
        <v>167</v>
      </c>
      <c r="D715" t="s">
        <v>40</v>
      </c>
      <c r="E715" t="s">
        <v>383</v>
      </c>
      <c r="F715" t="s">
        <v>495</v>
      </c>
      <c r="G715">
        <v>-42500</v>
      </c>
      <c r="H715" t="s">
        <v>170</v>
      </c>
      <c r="I715" t="s">
        <v>171</v>
      </c>
    </row>
    <row r="716" spans="1:9">
      <c r="A716" s="50">
        <v>45948</v>
      </c>
      <c r="B716" s="51">
        <v>0.7979513888888888</v>
      </c>
      <c r="C716" t="s">
        <v>167</v>
      </c>
      <c r="D716" t="s">
        <v>38</v>
      </c>
      <c r="E716" t="s">
        <v>221</v>
      </c>
      <c r="F716" t="s">
        <v>496</v>
      </c>
      <c r="G716">
        <v>-2000</v>
      </c>
      <c r="H716" t="s">
        <v>170</v>
      </c>
      <c r="I716" t="s">
        <v>171</v>
      </c>
    </row>
    <row r="717" spans="1:9">
      <c r="A717" s="50">
        <v>45948</v>
      </c>
      <c r="B717" s="51">
        <v>0.7136458333333333</v>
      </c>
      <c r="C717" t="s">
        <v>172</v>
      </c>
      <c r="D717" t="s">
        <v>172</v>
      </c>
      <c r="E717" t="s">
        <v>173</v>
      </c>
      <c r="F717" t="s">
        <v>265</v>
      </c>
      <c r="G717">
        <v>-120000</v>
      </c>
      <c r="H717" t="s">
        <v>170</v>
      </c>
      <c r="I717" t="s">
        <v>61</v>
      </c>
    </row>
    <row r="718" spans="1:9">
      <c r="A718" s="50">
        <v>45948</v>
      </c>
      <c r="B718" s="51">
        <v>0.635625</v>
      </c>
      <c r="C718" t="s">
        <v>167</v>
      </c>
      <c r="D718" t="s">
        <v>35</v>
      </c>
      <c r="E718" t="s">
        <v>360</v>
      </c>
      <c r="F718" t="s">
        <v>497</v>
      </c>
      <c r="G718">
        <v>-5000</v>
      </c>
      <c r="H718" t="s">
        <v>170</v>
      </c>
      <c r="I718" t="s">
        <v>171</v>
      </c>
    </row>
    <row r="719" spans="1:9">
      <c r="A719" s="50">
        <v>45948</v>
      </c>
      <c r="B719" s="51">
        <v>0.6120833333333333</v>
      </c>
      <c r="C719" t="s">
        <v>167</v>
      </c>
      <c r="D719" t="s">
        <v>46</v>
      </c>
      <c r="E719" t="s">
        <v>423</v>
      </c>
      <c r="F719" t="s">
        <v>498</v>
      </c>
      <c r="G719">
        <v>-3500</v>
      </c>
      <c r="H719" t="s">
        <v>170</v>
      </c>
      <c r="I719" t="s">
        <v>171</v>
      </c>
    </row>
    <row r="720" spans="1:9">
      <c r="A720" s="50">
        <v>45948</v>
      </c>
      <c r="B720" s="51">
        <v>0.6077199074074074</v>
      </c>
      <c r="C720" t="s">
        <v>167</v>
      </c>
      <c r="D720" t="s">
        <v>46</v>
      </c>
      <c r="E720" t="s">
        <v>423</v>
      </c>
      <c r="F720" t="s">
        <v>464</v>
      </c>
      <c r="G720">
        <v>-9900</v>
      </c>
      <c r="H720" t="s">
        <v>170</v>
      </c>
      <c r="I720" t="s">
        <v>171</v>
      </c>
    </row>
    <row r="721" spans="1:9">
      <c r="A721" s="50">
        <v>45948</v>
      </c>
      <c r="B721" s="51">
        <v>0.5820717592592592</v>
      </c>
      <c r="C721" t="s">
        <v>167</v>
      </c>
      <c r="D721" t="s">
        <v>38</v>
      </c>
      <c r="E721" t="s">
        <v>221</v>
      </c>
      <c r="F721" t="s">
        <v>496</v>
      </c>
      <c r="G721">
        <v>-2000</v>
      </c>
      <c r="H721" t="s">
        <v>170</v>
      </c>
      <c r="I721" t="s">
        <v>171</v>
      </c>
    </row>
    <row r="722" spans="1:9">
      <c r="A722" s="50">
        <v>45948</v>
      </c>
      <c r="B722" s="51">
        <v>0.5509027777777777</v>
      </c>
      <c r="C722" t="s">
        <v>167</v>
      </c>
      <c r="D722" t="s">
        <v>40</v>
      </c>
      <c r="E722" t="s">
        <v>329</v>
      </c>
      <c r="F722" t="s">
        <v>499</v>
      </c>
      <c r="G722">
        <v>-29000</v>
      </c>
      <c r="H722" t="s">
        <v>170</v>
      </c>
      <c r="I722" t="s">
        <v>171</v>
      </c>
    </row>
    <row r="723" spans="1:9">
      <c r="A723" s="50">
        <v>45948</v>
      </c>
      <c r="B723" s="51">
        <v>0.5446527777777778</v>
      </c>
      <c r="C723" t="s">
        <v>167</v>
      </c>
      <c r="D723" t="s">
        <v>33</v>
      </c>
      <c r="E723" t="s">
        <v>385</v>
      </c>
      <c r="F723" t="s">
        <v>500</v>
      </c>
      <c r="G723">
        <v>-4000</v>
      </c>
      <c r="H723" t="s">
        <v>170</v>
      </c>
      <c r="I723" t="s">
        <v>171</v>
      </c>
    </row>
    <row r="724" spans="1:9">
      <c r="A724" s="50">
        <v>45948</v>
      </c>
      <c r="B724" s="51">
        <v>0.44875</v>
      </c>
      <c r="C724" t="s">
        <v>167</v>
      </c>
      <c r="D724" t="s">
        <v>38</v>
      </c>
      <c r="E724" t="s">
        <v>181</v>
      </c>
      <c r="F724" t="s">
        <v>465</v>
      </c>
      <c r="G724">
        <v>-4100</v>
      </c>
      <c r="H724" t="s">
        <v>170</v>
      </c>
      <c r="I724" t="s">
        <v>171</v>
      </c>
    </row>
    <row r="725" spans="1:9">
      <c r="A725" s="50">
        <v>45947</v>
      </c>
      <c r="B725" s="51">
        <v>0.5661574074074074</v>
      </c>
      <c r="C725" t="s">
        <v>167</v>
      </c>
      <c r="D725" t="s">
        <v>45</v>
      </c>
      <c r="E725" t="s">
        <v>185</v>
      </c>
      <c r="F725" t="s">
        <v>186</v>
      </c>
      <c r="G725">
        <v>-25080</v>
      </c>
      <c r="H725" t="s">
        <v>170</v>
      </c>
      <c r="I725" t="s">
        <v>187</v>
      </c>
    </row>
    <row r="726" spans="1:9">
      <c r="A726" s="50">
        <v>45947</v>
      </c>
      <c r="B726" s="51">
        <v>0.5291319444444444</v>
      </c>
      <c r="C726" t="s">
        <v>172</v>
      </c>
      <c r="D726" t="s">
        <v>172</v>
      </c>
      <c r="E726" t="s">
        <v>173</v>
      </c>
      <c r="F726" t="s">
        <v>265</v>
      </c>
      <c r="G726">
        <v>-10800</v>
      </c>
      <c r="H726" t="s">
        <v>170</v>
      </c>
      <c r="I726" t="s">
        <v>61</v>
      </c>
    </row>
    <row r="727" spans="1:9">
      <c r="A727" s="50">
        <v>45947</v>
      </c>
      <c r="B727" s="51">
        <v>0.5291203703703704</v>
      </c>
      <c r="C727" t="s">
        <v>172</v>
      </c>
      <c r="D727" t="s">
        <v>195</v>
      </c>
      <c r="E727" t="s">
        <v>173</v>
      </c>
      <c r="F727" t="s">
        <v>264</v>
      </c>
      <c r="G727">
        <v>10800</v>
      </c>
      <c r="H727" t="s">
        <v>170</v>
      </c>
      <c r="I727" t="s">
        <v>175</v>
      </c>
    </row>
    <row r="728" spans="1:9">
      <c r="A728" s="50">
        <v>45947</v>
      </c>
      <c r="B728" s="51">
        <v>0.5291203703703704</v>
      </c>
      <c r="C728" t="s">
        <v>167</v>
      </c>
      <c r="D728" t="s">
        <v>34</v>
      </c>
      <c r="E728" t="s">
        <v>208</v>
      </c>
      <c r="F728" t="s">
        <v>263</v>
      </c>
      <c r="G728">
        <v>-11000</v>
      </c>
      <c r="H728" t="s">
        <v>170</v>
      </c>
      <c r="I728" t="s">
        <v>175</v>
      </c>
    </row>
    <row r="729" spans="1:9">
      <c r="A729" s="50">
        <v>45946</v>
      </c>
      <c r="B729" s="51">
        <v>0.9037500000000001</v>
      </c>
      <c r="C729" t="s">
        <v>167</v>
      </c>
      <c r="D729" t="s">
        <v>34</v>
      </c>
      <c r="E729" t="s">
        <v>208</v>
      </c>
      <c r="F729" t="s">
        <v>308</v>
      </c>
      <c r="G729">
        <v>-10800</v>
      </c>
      <c r="H729" t="s">
        <v>170</v>
      </c>
      <c r="I729" t="s">
        <v>237</v>
      </c>
    </row>
    <row r="730" spans="1:9">
      <c r="A730" s="50">
        <v>45946</v>
      </c>
      <c r="B730" s="51">
        <v>0.8744791666666667</v>
      </c>
      <c r="C730" t="s">
        <v>172</v>
      </c>
      <c r="D730" t="s">
        <v>195</v>
      </c>
      <c r="E730" t="s">
        <v>173</v>
      </c>
      <c r="F730" t="s">
        <v>265</v>
      </c>
      <c r="G730">
        <v>-10000</v>
      </c>
      <c r="H730" t="s">
        <v>170</v>
      </c>
      <c r="I730" t="s">
        <v>61</v>
      </c>
    </row>
    <row r="731" spans="1:9">
      <c r="A731" s="50">
        <v>45946</v>
      </c>
      <c r="B731" s="51">
        <v>0.8744675925925925</v>
      </c>
      <c r="C731" t="s">
        <v>172</v>
      </c>
      <c r="D731" t="s">
        <v>195</v>
      </c>
      <c r="E731" t="s">
        <v>173</v>
      </c>
      <c r="F731" t="s">
        <v>264</v>
      </c>
      <c r="G731">
        <v>10000</v>
      </c>
      <c r="H731" t="s">
        <v>170</v>
      </c>
      <c r="I731" t="s">
        <v>175</v>
      </c>
    </row>
    <row r="732" spans="1:9">
      <c r="A732" s="50">
        <v>45946</v>
      </c>
      <c r="B732" s="51">
        <v>0.8744675925925925</v>
      </c>
      <c r="C732" t="s">
        <v>167</v>
      </c>
      <c r="D732" t="s">
        <v>42</v>
      </c>
      <c r="E732" t="s">
        <v>235</v>
      </c>
      <c r="F732" t="s">
        <v>368</v>
      </c>
      <c r="G732">
        <v>-9800</v>
      </c>
      <c r="H732" t="s">
        <v>170</v>
      </c>
      <c r="I732" t="s">
        <v>253</v>
      </c>
    </row>
    <row r="733" spans="1:9">
      <c r="A733" s="50">
        <v>45946</v>
      </c>
      <c r="B733" s="51">
        <v>0.5470833333333334</v>
      </c>
      <c r="C733" t="s">
        <v>167</v>
      </c>
      <c r="D733" t="s">
        <v>40</v>
      </c>
      <c r="E733" t="s">
        <v>176</v>
      </c>
      <c r="F733" t="s">
        <v>422</v>
      </c>
      <c r="G733">
        <v>-9000</v>
      </c>
      <c r="H733" t="s">
        <v>170</v>
      </c>
      <c r="I733" t="s">
        <v>243</v>
      </c>
    </row>
    <row r="734" spans="1:9">
      <c r="A734" s="50">
        <v>45945</v>
      </c>
      <c r="B734" s="51">
        <v>0.4268981481481481</v>
      </c>
      <c r="C734" t="s">
        <v>172</v>
      </c>
      <c r="D734" t="s">
        <v>195</v>
      </c>
      <c r="E734" t="s">
        <v>173</v>
      </c>
      <c r="F734" t="s">
        <v>7</v>
      </c>
      <c r="G734">
        <v>-630000</v>
      </c>
      <c r="H734" t="s">
        <v>170</v>
      </c>
      <c r="I734" t="s">
        <v>59</v>
      </c>
    </row>
    <row r="735" spans="1:9">
      <c r="A735" s="50">
        <v>45945</v>
      </c>
      <c r="B735" s="51">
        <v>0.3570486111111111</v>
      </c>
      <c r="C735" t="s">
        <v>167</v>
      </c>
      <c r="D735" t="s">
        <v>35</v>
      </c>
      <c r="E735" t="s">
        <v>225</v>
      </c>
      <c r="F735" t="s">
        <v>226</v>
      </c>
      <c r="G735">
        <v>-3500</v>
      </c>
      <c r="H735" t="s">
        <v>170</v>
      </c>
      <c r="I735" t="s">
        <v>171</v>
      </c>
    </row>
    <row r="736" spans="1:9">
      <c r="A736" s="50">
        <v>45945</v>
      </c>
      <c r="B736" s="51">
        <v>0.1307523148148148</v>
      </c>
      <c r="C736" t="s">
        <v>172</v>
      </c>
      <c r="D736" t="s">
        <v>200</v>
      </c>
      <c r="E736" t="s">
        <v>173</v>
      </c>
      <c r="F736" t="s">
        <v>201</v>
      </c>
      <c r="G736">
        <v>-1192213</v>
      </c>
      <c r="H736" t="s">
        <v>170</v>
      </c>
      <c r="I736" t="s">
        <v>61</v>
      </c>
    </row>
    <row r="737" spans="1:9">
      <c r="A737" s="50">
        <v>45944</v>
      </c>
      <c r="B737" s="51">
        <v>0.9091319444444445</v>
      </c>
      <c r="C737" t="s">
        <v>167</v>
      </c>
      <c r="D737" t="s">
        <v>38</v>
      </c>
      <c r="E737" t="s">
        <v>181</v>
      </c>
      <c r="F737" t="s">
        <v>341</v>
      </c>
      <c r="G737">
        <v>-9400</v>
      </c>
      <c r="H737" t="s">
        <v>170</v>
      </c>
      <c r="I737" t="s">
        <v>243</v>
      </c>
    </row>
    <row r="738" spans="1:9">
      <c r="A738" s="50">
        <v>45944</v>
      </c>
      <c r="B738" s="51">
        <v>0.5529050925925926</v>
      </c>
      <c r="C738" t="s">
        <v>167</v>
      </c>
      <c r="D738" t="s">
        <v>40</v>
      </c>
      <c r="E738" t="s">
        <v>383</v>
      </c>
      <c r="F738" t="s">
        <v>384</v>
      </c>
      <c r="G738">
        <v>-10000</v>
      </c>
      <c r="H738" t="s">
        <v>170</v>
      </c>
      <c r="I738" t="s">
        <v>243</v>
      </c>
    </row>
    <row r="739" spans="1:9">
      <c r="A739" s="50">
        <v>45943</v>
      </c>
      <c r="B739" s="51">
        <v>0.8358912037037037</v>
      </c>
      <c r="C739" t="s">
        <v>172</v>
      </c>
      <c r="D739" t="s">
        <v>172</v>
      </c>
      <c r="E739" t="s">
        <v>173</v>
      </c>
      <c r="F739" t="s">
        <v>202</v>
      </c>
      <c r="G739">
        <v>-7060</v>
      </c>
      <c r="H739" t="s">
        <v>170</v>
      </c>
      <c r="I739" t="s">
        <v>60</v>
      </c>
    </row>
    <row r="740" spans="1:9">
      <c r="A740" s="50">
        <v>45943</v>
      </c>
      <c r="B740" s="51">
        <v>0.8146180555555556</v>
      </c>
      <c r="C740" t="s">
        <v>172</v>
      </c>
      <c r="D740" t="s">
        <v>172</v>
      </c>
      <c r="E740" t="s">
        <v>173</v>
      </c>
      <c r="F740" t="s">
        <v>202</v>
      </c>
      <c r="G740">
        <v>-14840</v>
      </c>
      <c r="H740" t="s">
        <v>170</v>
      </c>
      <c r="I740" t="s">
        <v>60</v>
      </c>
    </row>
    <row r="741" spans="1:9">
      <c r="A741" s="50">
        <v>45943</v>
      </c>
      <c r="B741" s="51">
        <v>0.7557523148148149</v>
      </c>
      <c r="C741" t="s">
        <v>172</v>
      </c>
      <c r="D741" t="s">
        <v>195</v>
      </c>
      <c r="E741" t="s">
        <v>173</v>
      </c>
      <c r="F741" t="s">
        <v>7</v>
      </c>
      <c r="G741">
        <v>700000</v>
      </c>
      <c r="H741" t="s">
        <v>170</v>
      </c>
      <c r="I741" t="s">
        <v>67</v>
      </c>
    </row>
    <row r="742" spans="1:9">
      <c r="A742" s="50">
        <v>45943</v>
      </c>
      <c r="B742" s="51">
        <v>0.7557523148148149</v>
      </c>
      <c r="C742" t="s">
        <v>172</v>
      </c>
      <c r="D742" t="s">
        <v>195</v>
      </c>
      <c r="E742" t="s">
        <v>173</v>
      </c>
      <c r="F742" t="s">
        <v>501</v>
      </c>
      <c r="G742">
        <v>-700000</v>
      </c>
      <c r="H742" t="s">
        <v>170</v>
      </c>
      <c r="I742" t="s">
        <v>59</v>
      </c>
    </row>
    <row r="743" spans="1:9">
      <c r="A743" s="50">
        <v>45942</v>
      </c>
      <c r="B743" s="51">
        <v>0.5551851851851852</v>
      </c>
      <c r="C743" t="s">
        <v>167</v>
      </c>
      <c r="D743" t="s">
        <v>46</v>
      </c>
      <c r="E743" t="s">
        <v>168</v>
      </c>
      <c r="F743" t="s">
        <v>418</v>
      </c>
      <c r="G743">
        <v>-1800</v>
      </c>
      <c r="H743" t="s">
        <v>170</v>
      </c>
      <c r="I743" t="s">
        <v>243</v>
      </c>
    </row>
    <row r="744" spans="1:9">
      <c r="A744" s="50">
        <v>45942</v>
      </c>
      <c r="B744" s="51">
        <v>0.3648726851851852</v>
      </c>
      <c r="C744" t="s">
        <v>167</v>
      </c>
      <c r="D744" t="s">
        <v>35</v>
      </c>
      <c r="E744" t="s">
        <v>197</v>
      </c>
      <c r="F744" t="s">
        <v>198</v>
      </c>
      <c r="G744">
        <v>-24000</v>
      </c>
      <c r="H744" t="s">
        <v>170</v>
      </c>
      <c r="I744" t="s">
        <v>199</v>
      </c>
    </row>
    <row r="745" spans="1:9">
      <c r="A745" s="50">
        <v>45941</v>
      </c>
      <c r="B745" s="51">
        <v>0.9464814814814815</v>
      </c>
      <c r="C745" t="s">
        <v>167</v>
      </c>
      <c r="D745" t="s">
        <v>46</v>
      </c>
      <c r="E745" t="s">
        <v>168</v>
      </c>
      <c r="F745" t="s">
        <v>279</v>
      </c>
      <c r="G745">
        <v>-50500</v>
      </c>
      <c r="H745" t="s">
        <v>170</v>
      </c>
      <c r="I745" t="s">
        <v>237</v>
      </c>
    </row>
    <row r="746" spans="1:9">
      <c r="A746" s="50">
        <v>45941</v>
      </c>
      <c r="B746" s="51">
        <v>0.5521527777777778</v>
      </c>
      <c r="C746" t="s">
        <v>167</v>
      </c>
      <c r="D746" t="s">
        <v>46</v>
      </c>
      <c r="E746" t="s">
        <v>168</v>
      </c>
      <c r="F746" t="s">
        <v>502</v>
      </c>
      <c r="G746">
        <v>-5000</v>
      </c>
      <c r="H746" t="s">
        <v>170</v>
      </c>
      <c r="I746" t="s">
        <v>243</v>
      </c>
    </row>
    <row r="747" spans="1:9">
      <c r="A747" s="50">
        <v>45940</v>
      </c>
      <c r="B747" s="51">
        <v>0.817337962962963</v>
      </c>
      <c r="C747" t="s">
        <v>167</v>
      </c>
      <c r="D747" t="s">
        <v>42</v>
      </c>
      <c r="E747" t="s">
        <v>188</v>
      </c>
      <c r="F747" t="s">
        <v>354</v>
      </c>
      <c r="G747">
        <v>-31574</v>
      </c>
      <c r="H747" t="s">
        <v>170</v>
      </c>
      <c r="I747" t="s">
        <v>187</v>
      </c>
    </row>
    <row r="748" spans="1:9">
      <c r="A748" s="50">
        <v>45940</v>
      </c>
      <c r="B748" s="51">
        <v>0.769988425925926</v>
      </c>
      <c r="C748" t="s">
        <v>167</v>
      </c>
      <c r="D748" t="s">
        <v>37</v>
      </c>
      <c r="E748" t="s">
        <v>240</v>
      </c>
      <c r="F748" t="s">
        <v>503</v>
      </c>
      <c r="G748">
        <v>-8800</v>
      </c>
      <c r="H748" t="s">
        <v>170</v>
      </c>
      <c r="I748" t="s">
        <v>243</v>
      </c>
    </row>
    <row r="749" spans="1:9">
      <c r="A749" s="50">
        <v>45939</v>
      </c>
      <c r="B749" s="51">
        <v>0.8588194444444445</v>
      </c>
      <c r="C749" t="s">
        <v>167</v>
      </c>
      <c r="D749" t="s">
        <v>41</v>
      </c>
      <c r="E749" t="s">
        <v>452</v>
      </c>
      <c r="F749" t="s">
        <v>453</v>
      </c>
      <c r="G749">
        <v>-81927</v>
      </c>
      <c r="H749" t="s">
        <v>170</v>
      </c>
      <c r="I749" t="s">
        <v>253</v>
      </c>
    </row>
    <row r="750" spans="1:9">
      <c r="A750" s="50">
        <v>45939</v>
      </c>
      <c r="B750" s="51">
        <v>0.6925462962962963</v>
      </c>
      <c r="C750" t="s">
        <v>167</v>
      </c>
      <c r="D750" t="s">
        <v>46</v>
      </c>
      <c r="E750" t="s">
        <v>423</v>
      </c>
      <c r="F750" t="s">
        <v>504</v>
      </c>
      <c r="G750">
        <v>-2700</v>
      </c>
      <c r="H750" t="s">
        <v>170</v>
      </c>
      <c r="I750" t="s">
        <v>243</v>
      </c>
    </row>
    <row r="751" spans="1:9">
      <c r="A751" s="50">
        <v>45939</v>
      </c>
      <c r="B751" s="51">
        <v>0.6747337962962963</v>
      </c>
      <c r="C751" t="s">
        <v>167</v>
      </c>
      <c r="D751" t="s">
        <v>34</v>
      </c>
      <c r="E751" t="s">
        <v>208</v>
      </c>
      <c r="F751" t="s">
        <v>308</v>
      </c>
      <c r="G751">
        <v>-60000</v>
      </c>
      <c r="H751" t="s">
        <v>170</v>
      </c>
      <c r="I751" t="s">
        <v>237</v>
      </c>
    </row>
    <row r="752" spans="1:9">
      <c r="A752" s="50">
        <v>45939</v>
      </c>
      <c r="B752" s="51">
        <v>0.4844444444444445</v>
      </c>
      <c r="C752" t="s">
        <v>167</v>
      </c>
      <c r="D752" t="s">
        <v>46</v>
      </c>
      <c r="E752" t="s">
        <v>168</v>
      </c>
      <c r="F752" t="s">
        <v>418</v>
      </c>
      <c r="G752">
        <v>-1800</v>
      </c>
      <c r="H752" t="s">
        <v>170</v>
      </c>
      <c r="I752" t="s">
        <v>243</v>
      </c>
    </row>
    <row r="753" spans="1:9">
      <c r="A753" s="50">
        <v>45939</v>
      </c>
      <c r="B753" s="51">
        <v>0.3936342592592593</v>
      </c>
      <c r="C753" t="s">
        <v>167</v>
      </c>
      <c r="D753" t="s">
        <v>42</v>
      </c>
      <c r="E753" t="s">
        <v>235</v>
      </c>
      <c r="F753" t="s">
        <v>242</v>
      </c>
      <c r="G753">
        <v>-12480</v>
      </c>
      <c r="H753" t="s">
        <v>170</v>
      </c>
      <c r="I753" t="s">
        <v>243</v>
      </c>
    </row>
    <row r="754" spans="1:9">
      <c r="A754" s="50">
        <v>45939</v>
      </c>
      <c r="B754" s="51">
        <v>0.3626388888888889</v>
      </c>
      <c r="C754" t="s">
        <v>167</v>
      </c>
      <c r="D754" t="s">
        <v>35</v>
      </c>
      <c r="E754" t="s">
        <v>197</v>
      </c>
      <c r="F754" t="s">
        <v>198</v>
      </c>
      <c r="G754">
        <v>-24000</v>
      </c>
      <c r="H754" t="s">
        <v>170</v>
      </c>
      <c r="I754" t="s">
        <v>199</v>
      </c>
    </row>
    <row r="755" spans="1:9">
      <c r="A755" s="50">
        <v>45938</v>
      </c>
      <c r="B755" s="51">
        <v>0.5566087962962963</v>
      </c>
      <c r="C755" t="s">
        <v>172</v>
      </c>
      <c r="D755" t="s">
        <v>195</v>
      </c>
      <c r="E755" t="s">
        <v>173</v>
      </c>
      <c r="F755" t="s">
        <v>264</v>
      </c>
      <c r="G755">
        <v>39930</v>
      </c>
      <c r="H755" t="s">
        <v>170</v>
      </c>
      <c r="I755" t="s">
        <v>175</v>
      </c>
    </row>
    <row r="756" spans="1:9">
      <c r="A756" s="50">
        <v>45938</v>
      </c>
      <c r="B756" s="51">
        <v>0.5566087962962963</v>
      </c>
      <c r="C756" t="s">
        <v>167</v>
      </c>
      <c r="D756" t="s">
        <v>34</v>
      </c>
      <c r="E756" t="s">
        <v>208</v>
      </c>
      <c r="F756" t="s">
        <v>263</v>
      </c>
      <c r="G756">
        <v>-47500</v>
      </c>
      <c r="H756" t="s">
        <v>170</v>
      </c>
      <c r="I756" t="s">
        <v>175</v>
      </c>
    </row>
    <row r="757" spans="1:9">
      <c r="A757" s="50">
        <v>45937</v>
      </c>
      <c r="B757" s="51">
        <v>0.9424305555555555</v>
      </c>
      <c r="C757" t="s">
        <v>167</v>
      </c>
      <c r="D757" t="s">
        <v>46</v>
      </c>
      <c r="E757" t="s">
        <v>413</v>
      </c>
      <c r="F757" t="s">
        <v>414</v>
      </c>
      <c r="G757">
        <v>-9800</v>
      </c>
      <c r="H757" t="s">
        <v>170</v>
      </c>
      <c r="I757" t="s">
        <v>171</v>
      </c>
    </row>
    <row r="758" spans="1:9">
      <c r="A758" s="50">
        <v>45937</v>
      </c>
      <c r="B758" s="51">
        <v>0.93875</v>
      </c>
      <c r="C758" t="s">
        <v>167</v>
      </c>
      <c r="D758" t="s">
        <v>33</v>
      </c>
      <c r="E758" t="s">
        <v>257</v>
      </c>
      <c r="F758" t="s">
        <v>275</v>
      </c>
      <c r="G758">
        <v>-16000</v>
      </c>
      <c r="H758" t="s">
        <v>170</v>
      </c>
      <c r="I758" t="s">
        <v>253</v>
      </c>
    </row>
    <row r="759" spans="1:9">
      <c r="A759" s="50">
        <v>45937</v>
      </c>
      <c r="B759" s="51">
        <v>0.9190625</v>
      </c>
      <c r="C759" t="s">
        <v>167</v>
      </c>
      <c r="D759" t="s">
        <v>33</v>
      </c>
      <c r="E759" t="s">
        <v>257</v>
      </c>
      <c r="F759" t="s">
        <v>275</v>
      </c>
      <c r="G759">
        <v>15600</v>
      </c>
      <c r="H759" t="s">
        <v>170</v>
      </c>
      <c r="I759" t="s">
        <v>253</v>
      </c>
    </row>
    <row r="760" spans="1:9">
      <c r="A760" s="50">
        <v>45937</v>
      </c>
      <c r="B760" s="51">
        <v>0.919050925925926</v>
      </c>
      <c r="C760" t="s">
        <v>167</v>
      </c>
      <c r="D760" t="s">
        <v>33</v>
      </c>
      <c r="E760" t="s">
        <v>257</v>
      </c>
      <c r="F760" t="s">
        <v>275</v>
      </c>
      <c r="G760">
        <v>-15600</v>
      </c>
      <c r="H760" t="s">
        <v>170</v>
      </c>
      <c r="I760" t="s">
        <v>253</v>
      </c>
    </row>
    <row r="761" spans="1:9">
      <c r="A761" s="50">
        <v>45937</v>
      </c>
      <c r="B761" s="51">
        <v>0.5698148148148148</v>
      </c>
      <c r="C761" t="s">
        <v>167</v>
      </c>
      <c r="D761" t="s">
        <v>33</v>
      </c>
      <c r="E761" t="s">
        <v>257</v>
      </c>
      <c r="F761" t="s">
        <v>275</v>
      </c>
      <c r="G761">
        <v>-11900</v>
      </c>
      <c r="H761" t="s">
        <v>170</v>
      </c>
      <c r="I761" t="s">
        <v>253</v>
      </c>
    </row>
    <row r="762" spans="1:9">
      <c r="A762" s="50">
        <v>45937</v>
      </c>
      <c r="B762" s="51">
        <v>0.5528472222222223</v>
      </c>
      <c r="C762" t="s">
        <v>167</v>
      </c>
      <c r="D762" t="s">
        <v>33</v>
      </c>
      <c r="E762" t="s">
        <v>257</v>
      </c>
      <c r="F762" t="s">
        <v>275</v>
      </c>
      <c r="G762">
        <v>11000</v>
      </c>
      <c r="H762" t="s">
        <v>170</v>
      </c>
      <c r="I762" t="s">
        <v>253</v>
      </c>
    </row>
    <row r="763" spans="1:9">
      <c r="A763" s="50">
        <v>45937</v>
      </c>
      <c r="B763" s="51">
        <v>0.5528356481481481</v>
      </c>
      <c r="C763" t="s">
        <v>167</v>
      </c>
      <c r="D763" t="s">
        <v>33</v>
      </c>
      <c r="E763" t="s">
        <v>257</v>
      </c>
      <c r="F763" t="s">
        <v>275</v>
      </c>
      <c r="G763">
        <v>-11000</v>
      </c>
      <c r="H763" t="s">
        <v>170</v>
      </c>
      <c r="I763" t="s">
        <v>253</v>
      </c>
    </row>
    <row r="764" spans="1:9">
      <c r="A764" s="50">
        <v>45937</v>
      </c>
      <c r="B764" s="51">
        <v>0.442974537037037</v>
      </c>
      <c r="C764" t="s">
        <v>167</v>
      </c>
      <c r="D764" t="s">
        <v>46</v>
      </c>
      <c r="E764" t="s">
        <v>168</v>
      </c>
      <c r="F764" t="s">
        <v>502</v>
      </c>
      <c r="G764">
        <v>-7500</v>
      </c>
      <c r="H764" t="s">
        <v>170</v>
      </c>
      <c r="I764" t="s">
        <v>243</v>
      </c>
    </row>
    <row r="765" spans="1:9">
      <c r="A765" s="50">
        <v>45936</v>
      </c>
      <c r="B765" s="51">
        <v>0.4526041666666666</v>
      </c>
      <c r="C765" t="s">
        <v>167</v>
      </c>
      <c r="D765" t="s">
        <v>46</v>
      </c>
      <c r="E765" t="s">
        <v>168</v>
      </c>
      <c r="F765" t="s">
        <v>418</v>
      </c>
      <c r="G765">
        <v>-10000</v>
      </c>
      <c r="H765" t="s">
        <v>170</v>
      </c>
      <c r="I765" t="s">
        <v>171</v>
      </c>
    </row>
    <row r="766" spans="1:9">
      <c r="A766" s="50">
        <v>45935</v>
      </c>
      <c r="B766" s="51">
        <v>0.8674884259259259</v>
      </c>
      <c r="C766" t="s">
        <v>167</v>
      </c>
      <c r="D766" t="s">
        <v>42</v>
      </c>
      <c r="E766" t="s">
        <v>188</v>
      </c>
      <c r="F766" t="s">
        <v>231</v>
      </c>
      <c r="G766">
        <v>-14900</v>
      </c>
      <c r="H766" t="s">
        <v>170</v>
      </c>
      <c r="I766" t="s">
        <v>187</v>
      </c>
    </row>
    <row r="767" spans="1:9">
      <c r="A767" s="50">
        <v>45935</v>
      </c>
      <c r="B767" s="51">
        <v>0.786712962962963</v>
      </c>
      <c r="C767" t="s">
        <v>167</v>
      </c>
      <c r="D767" t="s">
        <v>38</v>
      </c>
      <c r="E767" t="s">
        <v>259</v>
      </c>
      <c r="F767" t="s">
        <v>389</v>
      </c>
      <c r="G767">
        <v>-490</v>
      </c>
      <c r="H767" t="s">
        <v>170</v>
      </c>
      <c r="I767" t="s">
        <v>171</v>
      </c>
    </row>
    <row r="768" spans="1:9">
      <c r="A768" s="50">
        <v>45935</v>
      </c>
      <c r="B768" s="51">
        <v>0.7861342592592593</v>
      </c>
      <c r="C768" t="s">
        <v>167</v>
      </c>
      <c r="D768" t="s">
        <v>38</v>
      </c>
      <c r="E768" t="s">
        <v>259</v>
      </c>
      <c r="F768" t="s">
        <v>389</v>
      </c>
      <c r="G768">
        <v>-32900</v>
      </c>
      <c r="H768" t="s">
        <v>170</v>
      </c>
      <c r="I768" t="s">
        <v>171</v>
      </c>
    </row>
    <row r="769" spans="1:9">
      <c r="A769" s="50">
        <v>45935</v>
      </c>
      <c r="B769" s="51">
        <v>0.7465046296296296</v>
      </c>
      <c r="C769" t="s">
        <v>167</v>
      </c>
      <c r="D769" t="s">
        <v>38</v>
      </c>
      <c r="E769" t="s">
        <v>181</v>
      </c>
      <c r="F769" t="s">
        <v>465</v>
      </c>
      <c r="G769">
        <v>-6000</v>
      </c>
      <c r="H769" t="s">
        <v>170</v>
      </c>
      <c r="I769" t="s">
        <v>171</v>
      </c>
    </row>
    <row r="770" spans="1:9">
      <c r="A770" s="50">
        <v>45935</v>
      </c>
      <c r="B770" s="51">
        <v>0.7368287037037037</v>
      </c>
      <c r="C770" t="s">
        <v>167</v>
      </c>
      <c r="D770" t="s">
        <v>38</v>
      </c>
      <c r="E770" t="s">
        <v>181</v>
      </c>
      <c r="F770" t="s">
        <v>465</v>
      </c>
      <c r="G770">
        <v>-7500</v>
      </c>
      <c r="H770" t="s">
        <v>170</v>
      </c>
      <c r="I770" t="s">
        <v>171</v>
      </c>
    </row>
    <row r="771" spans="1:9">
      <c r="A771" s="50">
        <v>45935</v>
      </c>
      <c r="B771" s="51">
        <v>0.7262731481481481</v>
      </c>
      <c r="C771" t="s">
        <v>167</v>
      </c>
      <c r="D771" t="s">
        <v>38</v>
      </c>
      <c r="E771" t="s">
        <v>288</v>
      </c>
      <c r="F771" t="s">
        <v>505</v>
      </c>
      <c r="G771">
        <v>-1430</v>
      </c>
      <c r="H771" t="s">
        <v>170</v>
      </c>
      <c r="I771" t="s">
        <v>253</v>
      </c>
    </row>
    <row r="772" spans="1:9">
      <c r="A772" s="50">
        <v>45935</v>
      </c>
      <c r="B772" s="51">
        <v>0.6890625</v>
      </c>
      <c r="C772" t="s">
        <v>167</v>
      </c>
      <c r="D772" t="s">
        <v>42</v>
      </c>
      <c r="E772" t="s">
        <v>338</v>
      </c>
      <c r="F772" t="s">
        <v>339</v>
      </c>
      <c r="G772">
        <v>-47000</v>
      </c>
      <c r="H772" t="s">
        <v>170</v>
      </c>
      <c r="I772" t="s">
        <v>187</v>
      </c>
    </row>
    <row r="773" spans="1:9">
      <c r="A773" s="50">
        <v>45935</v>
      </c>
      <c r="B773" s="51">
        <v>0.6193402777777778</v>
      </c>
      <c r="C773" t="s">
        <v>167</v>
      </c>
      <c r="D773" t="s">
        <v>35</v>
      </c>
      <c r="E773" t="s">
        <v>360</v>
      </c>
      <c r="F773" t="s">
        <v>506</v>
      </c>
      <c r="G773">
        <v>-3000</v>
      </c>
      <c r="H773" t="s">
        <v>170</v>
      </c>
      <c r="I773" t="s">
        <v>171</v>
      </c>
    </row>
    <row r="774" spans="1:9">
      <c r="A774" s="50">
        <v>45935</v>
      </c>
      <c r="B774" s="51">
        <v>0.6185763888888889</v>
      </c>
      <c r="C774" t="s">
        <v>167</v>
      </c>
      <c r="D774" t="s">
        <v>35</v>
      </c>
      <c r="E774" t="s">
        <v>360</v>
      </c>
      <c r="F774" t="s">
        <v>506</v>
      </c>
      <c r="G774">
        <v>-3000</v>
      </c>
      <c r="H774" t="s">
        <v>170</v>
      </c>
      <c r="I774" t="s">
        <v>171</v>
      </c>
    </row>
    <row r="775" spans="1:9">
      <c r="A775" s="50">
        <v>45935</v>
      </c>
      <c r="B775" s="51">
        <v>0.5556712962962963</v>
      </c>
      <c r="C775" t="s">
        <v>167</v>
      </c>
      <c r="D775" t="s">
        <v>46</v>
      </c>
      <c r="E775" t="s">
        <v>219</v>
      </c>
      <c r="F775" t="s">
        <v>507</v>
      </c>
      <c r="G775">
        <v>-18300</v>
      </c>
      <c r="H775" t="s">
        <v>170</v>
      </c>
      <c r="I775" t="s">
        <v>171</v>
      </c>
    </row>
    <row r="776" spans="1:9">
      <c r="A776" s="50">
        <v>45935</v>
      </c>
      <c r="B776" s="51">
        <v>0.552962962962963</v>
      </c>
      <c r="C776" t="s">
        <v>167</v>
      </c>
      <c r="D776" t="s">
        <v>40</v>
      </c>
      <c r="E776" t="s">
        <v>176</v>
      </c>
      <c r="F776" t="s">
        <v>508</v>
      </c>
      <c r="G776">
        <v>-26000</v>
      </c>
      <c r="H776" t="s">
        <v>170</v>
      </c>
      <c r="I776" t="s">
        <v>171</v>
      </c>
    </row>
    <row r="777" spans="1:9">
      <c r="A777" s="50">
        <v>45935</v>
      </c>
      <c r="B777" s="51">
        <v>0.5086574074074074</v>
      </c>
      <c r="C777" t="s">
        <v>167</v>
      </c>
      <c r="D777" t="s">
        <v>38</v>
      </c>
      <c r="E777" t="s">
        <v>221</v>
      </c>
      <c r="F777" t="s">
        <v>509</v>
      </c>
      <c r="G777">
        <v>-2600</v>
      </c>
      <c r="H777" t="s">
        <v>170</v>
      </c>
      <c r="I777" t="s">
        <v>171</v>
      </c>
    </row>
    <row r="778" spans="1:9">
      <c r="A778" s="50">
        <v>45935</v>
      </c>
      <c r="B778" s="51">
        <v>0.4489467592592593</v>
      </c>
      <c r="C778" t="s">
        <v>167</v>
      </c>
      <c r="D778" t="s">
        <v>42</v>
      </c>
      <c r="E778" t="s">
        <v>188</v>
      </c>
      <c r="F778" t="s">
        <v>487</v>
      </c>
      <c r="G778">
        <v>-7890</v>
      </c>
      <c r="H778" t="s">
        <v>170</v>
      </c>
      <c r="I778" t="s">
        <v>243</v>
      </c>
    </row>
    <row r="779" spans="1:9">
      <c r="A779" s="50">
        <v>45935</v>
      </c>
      <c r="B779" s="51">
        <v>0.4052314814814815</v>
      </c>
      <c r="C779" t="s">
        <v>167</v>
      </c>
      <c r="D779" t="s">
        <v>38</v>
      </c>
      <c r="E779" t="s">
        <v>181</v>
      </c>
      <c r="F779" t="s">
        <v>510</v>
      </c>
      <c r="G779">
        <v>-34500</v>
      </c>
      <c r="H779" t="s">
        <v>170</v>
      </c>
      <c r="I779" t="s">
        <v>171</v>
      </c>
    </row>
    <row r="780" spans="1:9">
      <c r="A780" s="50">
        <v>45934</v>
      </c>
      <c r="B780" s="51">
        <v>0.8923263888888889</v>
      </c>
      <c r="C780" t="s">
        <v>172</v>
      </c>
      <c r="D780" t="s">
        <v>195</v>
      </c>
      <c r="E780" t="s">
        <v>173</v>
      </c>
      <c r="F780" t="s">
        <v>264</v>
      </c>
      <c r="G780">
        <v>10000</v>
      </c>
      <c r="H780" t="s">
        <v>170</v>
      </c>
      <c r="I780" t="s">
        <v>175</v>
      </c>
    </row>
    <row r="781" spans="1:9">
      <c r="A781" s="50">
        <v>45934</v>
      </c>
      <c r="B781" s="51">
        <v>0.8923263888888889</v>
      </c>
      <c r="C781" t="s">
        <v>167</v>
      </c>
      <c r="D781" t="s">
        <v>42</v>
      </c>
      <c r="E781" t="s">
        <v>235</v>
      </c>
      <c r="F781" t="s">
        <v>511</v>
      </c>
      <c r="G781">
        <v>-1000</v>
      </c>
      <c r="H781" t="s">
        <v>170</v>
      </c>
      <c r="I781" t="s">
        <v>253</v>
      </c>
    </row>
    <row r="782" spans="1:9">
      <c r="A782" s="50">
        <v>45934</v>
      </c>
      <c r="B782" s="51">
        <v>0.8887037037037037</v>
      </c>
      <c r="C782" t="s">
        <v>167</v>
      </c>
      <c r="D782" t="s">
        <v>42</v>
      </c>
      <c r="E782" t="s">
        <v>235</v>
      </c>
      <c r="F782" t="s">
        <v>511</v>
      </c>
      <c r="G782">
        <v>-1000</v>
      </c>
      <c r="H782" t="s">
        <v>170</v>
      </c>
      <c r="I782" t="s">
        <v>253</v>
      </c>
    </row>
    <row r="783" spans="1:9">
      <c r="A783" s="50">
        <v>45934</v>
      </c>
      <c r="B783" s="51">
        <v>0.8853472222222222</v>
      </c>
      <c r="C783" t="s">
        <v>167</v>
      </c>
      <c r="D783" t="s">
        <v>35</v>
      </c>
      <c r="E783" t="s">
        <v>271</v>
      </c>
      <c r="F783" t="s">
        <v>512</v>
      </c>
      <c r="G783">
        <v>-1000</v>
      </c>
      <c r="H783" t="s">
        <v>170</v>
      </c>
      <c r="I783" t="s">
        <v>171</v>
      </c>
    </row>
    <row r="784" spans="1:9">
      <c r="A784" s="50">
        <v>45934</v>
      </c>
      <c r="B784" s="51">
        <v>0.8323032407407407</v>
      </c>
      <c r="C784" t="s">
        <v>167</v>
      </c>
      <c r="D784" t="s">
        <v>42</v>
      </c>
      <c r="E784" t="s">
        <v>235</v>
      </c>
      <c r="F784" t="s">
        <v>511</v>
      </c>
      <c r="G784">
        <v>-3000</v>
      </c>
      <c r="H784" t="s">
        <v>170</v>
      </c>
      <c r="I784" t="s">
        <v>253</v>
      </c>
    </row>
    <row r="785" spans="1:9">
      <c r="A785" s="50">
        <v>45934</v>
      </c>
      <c r="B785" s="51">
        <v>0.8310300925925926</v>
      </c>
      <c r="C785" t="s">
        <v>167</v>
      </c>
      <c r="D785" t="s">
        <v>42</v>
      </c>
      <c r="E785" t="s">
        <v>235</v>
      </c>
      <c r="F785" t="s">
        <v>511</v>
      </c>
      <c r="G785">
        <v>-3000</v>
      </c>
      <c r="H785" t="s">
        <v>170</v>
      </c>
      <c r="I785" t="s">
        <v>253</v>
      </c>
    </row>
    <row r="786" spans="1:9">
      <c r="A786" s="50">
        <v>45934</v>
      </c>
      <c r="B786" s="51">
        <v>0.8304398148148148</v>
      </c>
      <c r="C786" t="s">
        <v>172</v>
      </c>
      <c r="D786" t="s">
        <v>195</v>
      </c>
      <c r="E786" t="s">
        <v>173</v>
      </c>
      <c r="F786" t="s">
        <v>264</v>
      </c>
      <c r="G786">
        <v>10000</v>
      </c>
      <c r="H786" t="s">
        <v>170</v>
      </c>
      <c r="I786" t="s">
        <v>175</v>
      </c>
    </row>
    <row r="787" spans="1:9">
      <c r="A787" s="50">
        <v>45934</v>
      </c>
      <c r="B787" s="51">
        <v>0.8304398148148148</v>
      </c>
      <c r="C787" t="s">
        <v>167</v>
      </c>
      <c r="D787" t="s">
        <v>42</v>
      </c>
      <c r="E787" t="s">
        <v>235</v>
      </c>
      <c r="F787" t="s">
        <v>511</v>
      </c>
      <c r="G787">
        <v>-3000</v>
      </c>
      <c r="H787" t="s">
        <v>170</v>
      </c>
      <c r="I787" t="s">
        <v>253</v>
      </c>
    </row>
    <row r="788" spans="1:9">
      <c r="A788" s="50">
        <v>45934</v>
      </c>
      <c r="B788" s="51">
        <v>0.8241898148148148</v>
      </c>
      <c r="C788" t="s">
        <v>167</v>
      </c>
      <c r="D788" t="s">
        <v>35</v>
      </c>
      <c r="E788" t="s">
        <v>360</v>
      </c>
      <c r="F788" t="s">
        <v>506</v>
      </c>
      <c r="G788">
        <v>-3000</v>
      </c>
      <c r="H788" t="s">
        <v>170</v>
      </c>
      <c r="I788" t="s">
        <v>171</v>
      </c>
    </row>
    <row r="789" spans="1:9">
      <c r="A789" s="50">
        <v>45934</v>
      </c>
      <c r="B789" s="51">
        <v>0.7992939814814815</v>
      </c>
      <c r="C789" t="s">
        <v>167</v>
      </c>
      <c r="D789" t="s">
        <v>40</v>
      </c>
      <c r="E789" t="s">
        <v>437</v>
      </c>
      <c r="F789" t="s">
        <v>513</v>
      </c>
      <c r="G789">
        <v>-28500</v>
      </c>
      <c r="H789" t="s">
        <v>170</v>
      </c>
      <c r="I789" t="s">
        <v>243</v>
      </c>
    </row>
    <row r="790" spans="1:9">
      <c r="A790" s="50">
        <v>45934</v>
      </c>
      <c r="B790" s="51">
        <v>0.7233796296296297</v>
      </c>
      <c r="C790" t="s">
        <v>167</v>
      </c>
      <c r="D790" t="s">
        <v>37</v>
      </c>
      <c r="E790" t="s">
        <v>240</v>
      </c>
      <c r="F790" t="s">
        <v>514</v>
      </c>
      <c r="G790">
        <v>-11000</v>
      </c>
      <c r="H790" t="s">
        <v>170</v>
      </c>
      <c r="I790" t="s">
        <v>243</v>
      </c>
    </row>
    <row r="791" spans="1:9">
      <c r="A791" s="50">
        <v>45934</v>
      </c>
      <c r="B791" s="51">
        <v>0.7130555555555556</v>
      </c>
      <c r="C791" t="s">
        <v>167</v>
      </c>
      <c r="D791" t="s">
        <v>47</v>
      </c>
      <c r="E791" t="s">
        <v>183</v>
      </c>
      <c r="F791" t="s">
        <v>483</v>
      </c>
      <c r="G791">
        <v>-3800</v>
      </c>
      <c r="H791" t="s">
        <v>170</v>
      </c>
      <c r="I791" t="s">
        <v>171</v>
      </c>
    </row>
    <row r="792" spans="1:9">
      <c r="A792" s="50">
        <v>45934</v>
      </c>
      <c r="B792" s="51">
        <v>0.6286921296296296</v>
      </c>
      <c r="C792" t="s">
        <v>167</v>
      </c>
      <c r="D792" t="s">
        <v>35</v>
      </c>
      <c r="E792" t="s">
        <v>293</v>
      </c>
      <c r="F792" t="s">
        <v>515</v>
      </c>
      <c r="G792">
        <v>-12000</v>
      </c>
      <c r="H792" t="s">
        <v>170</v>
      </c>
      <c r="I792" t="s">
        <v>171</v>
      </c>
    </row>
    <row r="793" spans="1:9">
      <c r="A793" s="50">
        <v>45934</v>
      </c>
      <c r="B793" s="51">
        <v>0.5816898148148149</v>
      </c>
      <c r="C793" t="s">
        <v>167</v>
      </c>
      <c r="D793" t="s">
        <v>40</v>
      </c>
      <c r="E793" t="s">
        <v>383</v>
      </c>
      <c r="F793" t="s">
        <v>516</v>
      </c>
      <c r="G793">
        <v>-57500</v>
      </c>
      <c r="H793" t="s">
        <v>170</v>
      </c>
      <c r="I793" t="s">
        <v>171</v>
      </c>
    </row>
    <row r="794" spans="1:9">
      <c r="A794" s="50">
        <v>45934</v>
      </c>
      <c r="B794" s="51">
        <v>0.5436574074074074</v>
      </c>
      <c r="C794" t="s">
        <v>167</v>
      </c>
      <c r="D794" t="s">
        <v>35</v>
      </c>
      <c r="E794" t="s">
        <v>360</v>
      </c>
      <c r="F794" t="s">
        <v>517</v>
      </c>
      <c r="G794">
        <v>-1000</v>
      </c>
      <c r="H794" t="s">
        <v>170</v>
      </c>
      <c r="I794" t="s">
        <v>171</v>
      </c>
    </row>
    <row r="795" spans="1:9">
      <c r="A795" s="50">
        <v>45934</v>
      </c>
      <c r="B795" s="51">
        <v>0.5431828703703704</v>
      </c>
      <c r="C795" t="s">
        <v>167</v>
      </c>
      <c r="D795" t="s">
        <v>35</v>
      </c>
      <c r="E795" t="s">
        <v>360</v>
      </c>
      <c r="F795" t="s">
        <v>517</v>
      </c>
      <c r="G795">
        <v>-1000</v>
      </c>
      <c r="H795" t="s">
        <v>170</v>
      </c>
      <c r="I795" t="s">
        <v>171</v>
      </c>
    </row>
    <row r="796" spans="1:9">
      <c r="A796" s="50">
        <v>45934</v>
      </c>
      <c r="B796" s="51">
        <v>0.5423032407407408</v>
      </c>
      <c r="C796" t="s">
        <v>167</v>
      </c>
      <c r="D796" t="s">
        <v>35</v>
      </c>
      <c r="E796" t="s">
        <v>360</v>
      </c>
      <c r="F796" t="s">
        <v>517</v>
      </c>
      <c r="G796">
        <v>-3000</v>
      </c>
      <c r="H796" t="s">
        <v>170</v>
      </c>
      <c r="I796" t="s">
        <v>171</v>
      </c>
    </row>
    <row r="797" spans="1:9">
      <c r="A797" s="50">
        <v>45934</v>
      </c>
      <c r="B797" s="51">
        <v>0.538125</v>
      </c>
      <c r="C797" t="s">
        <v>167</v>
      </c>
      <c r="D797" t="s">
        <v>35</v>
      </c>
      <c r="E797" t="s">
        <v>360</v>
      </c>
      <c r="F797" t="s">
        <v>517</v>
      </c>
      <c r="G797">
        <v>-3000</v>
      </c>
      <c r="H797" t="s">
        <v>170</v>
      </c>
      <c r="I797" t="s">
        <v>171</v>
      </c>
    </row>
    <row r="798" spans="1:9">
      <c r="A798" s="50">
        <v>45934</v>
      </c>
      <c r="B798" s="51">
        <v>0.5370023148148149</v>
      </c>
      <c r="C798" t="s">
        <v>167</v>
      </c>
      <c r="D798" t="s">
        <v>35</v>
      </c>
      <c r="E798" t="s">
        <v>360</v>
      </c>
      <c r="F798" t="s">
        <v>517</v>
      </c>
      <c r="G798">
        <v>-3000</v>
      </c>
      <c r="H798" t="s">
        <v>170</v>
      </c>
      <c r="I798" t="s">
        <v>171</v>
      </c>
    </row>
    <row r="799" spans="1:9">
      <c r="A799" s="50">
        <v>45934</v>
      </c>
      <c r="B799" s="51">
        <v>0.5355324074074074</v>
      </c>
      <c r="C799" t="s">
        <v>167</v>
      </c>
      <c r="D799" t="s">
        <v>35</v>
      </c>
      <c r="E799" t="s">
        <v>360</v>
      </c>
      <c r="F799" t="s">
        <v>517</v>
      </c>
      <c r="G799">
        <v>-3000</v>
      </c>
      <c r="H799" t="s">
        <v>170</v>
      </c>
      <c r="I799" t="s">
        <v>171</v>
      </c>
    </row>
    <row r="800" spans="1:9">
      <c r="A800" s="50">
        <v>45934</v>
      </c>
      <c r="B800" s="51">
        <v>0.2559259259259259</v>
      </c>
      <c r="C800" t="s">
        <v>167</v>
      </c>
      <c r="D800" t="s">
        <v>42</v>
      </c>
      <c r="E800" t="s">
        <v>188</v>
      </c>
      <c r="F800" t="s">
        <v>252</v>
      </c>
      <c r="G800">
        <v>-13500</v>
      </c>
      <c r="H800" t="s">
        <v>170</v>
      </c>
      <c r="I800" t="s">
        <v>253</v>
      </c>
    </row>
    <row r="801" spans="1:9">
      <c r="A801" s="50">
        <v>45934</v>
      </c>
      <c r="B801" s="51">
        <v>0.001226851851851852</v>
      </c>
      <c r="C801" t="s">
        <v>167</v>
      </c>
      <c r="D801" t="s">
        <v>42</v>
      </c>
      <c r="E801" t="s">
        <v>338</v>
      </c>
      <c r="F801" t="s">
        <v>339</v>
      </c>
      <c r="G801">
        <v>-19100</v>
      </c>
      <c r="H801" t="s">
        <v>170</v>
      </c>
      <c r="I801" t="s">
        <v>187</v>
      </c>
    </row>
    <row r="802" spans="1:9">
      <c r="A802" s="50">
        <v>45933</v>
      </c>
      <c r="B802" s="51">
        <v>0.6989351851851852</v>
      </c>
      <c r="C802" t="s">
        <v>167</v>
      </c>
      <c r="D802" t="s">
        <v>35</v>
      </c>
      <c r="E802" t="s">
        <v>360</v>
      </c>
      <c r="F802" t="s">
        <v>252</v>
      </c>
      <c r="G802">
        <v>-25300</v>
      </c>
      <c r="H802" t="s">
        <v>170</v>
      </c>
      <c r="I802" t="s">
        <v>253</v>
      </c>
    </row>
    <row r="803" spans="1:9">
      <c r="A803" s="50">
        <v>45933</v>
      </c>
      <c r="B803" s="51">
        <v>0.5987847222222222</v>
      </c>
      <c r="C803" t="s">
        <v>167</v>
      </c>
      <c r="D803" t="s">
        <v>46</v>
      </c>
      <c r="E803" t="s">
        <v>423</v>
      </c>
      <c r="F803" t="s">
        <v>518</v>
      </c>
      <c r="G803">
        <v>-23100</v>
      </c>
      <c r="H803" t="s">
        <v>170</v>
      </c>
      <c r="I803" t="s">
        <v>187</v>
      </c>
    </row>
    <row r="804" spans="1:9">
      <c r="A804" s="50">
        <v>45933</v>
      </c>
      <c r="B804" s="51">
        <v>0.4324074074074074</v>
      </c>
      <c r="C804" t="s">
        <v>167</v>
      </c>
      <c r="D804" t="s">
        <v>46</v>
      </c>
      <c r="E804" t="s">
        <v>168</v>
      </c>
      <c r="F804" t="s">
        <v>418</v>
      </c>
      <c r="G804">
        <v>-1800</v>
      </c>
      <c r="H804" t="s">
        <v>170</v>
      </c>
      <c r="I804" t="s">
        <v>171</v>
      </c>
    </row>
    <row r="805" spans="1:9">
      <c r="A805" s="50">
        <v>45933</v>
      </c>
      <c r="B805" s="51">
        <v>0.05342592592592593</v>
      </c>
      <c r="C805" t="s">
        <v>167</v>
      </c>
      <c r="D805" t="s">
        <v>42</v>
      </c>
      <c r="E805" t="s">
        <v>188</v>
      </c>
      <c r="F805" t="s">
        <v>256</v>
      </c>
      <c r="G805">
        <v>-2990</v>
      </c>
      <c r="H805" t="s">
        <v>170</v>
      </c>
      <c r="I805" t="s">
        <v>237</v>
      </c>
    </row>
    <row r="806" spans="1:9">
      <c r="A806" s="50">
        <v>45932</v>
      </c>
      <c r="B806" s="51">
        <v>0.863287037037037</v>
      </c>
      <c r="C806" t="s">
        <v>167</v>
      </c>
      <c r="D806" t="s">
        <v>35</v>
      </c>
      <c r="E806" t="s">
        <v>197</v>
      </c>
      <c r="F806" t="s">
        <v>198</v>
      </c>
      <c r="G806">
        <v>-24000</v>
      </c>
      <c r="H806" t="s">
        <v>170</v>
      </c>
      <c r="I806" t="s">
        <v>199</v>
      </c>
    </row>
    <row r="807" spans="1:9">
      <c r="A807" s="50">
        <v>45932</v>
      </c>
      <c r="B807" s="51">
        <v>0.5192245370370371</v>
      </c>
      <c r="C807" t="s">
        <v>167</v>
      </c>
      <c r="D807" t="s">
        <v>38</v>
      </c>
      <c r="E807" t="s">
        <v>259</v>
      </c>
      <c r="F807" t="s">
        <v>474</v>
      </c>
      <c r="G807">
        <v>-74770</v>
      </c>
      <c r="H807" t="s">
        <v>170</v>
      </c>
      <c r="I807" t="s">
        <v>187</v>
      </c>
    </row>
    <row r="808" spans="1:9">
      <c r="A808" s="50">
        <v>45932</v>
      </c>
      <c r="B808" s="51">
        <v>0.4972106481481481</v>
      </c>
      <c r="C808" t="s">
        <v>167</v>
      </c>
      <c r="D808" t="s">
        <v>42</v>
      </c>
      <c r="E808" t="s">
        <v>235</v>
      </c>
      <c r="F808" t="s">
        <v>353</v>
      </c>
      <c r="G808">
        <v>-72750</v>
      </c>
      <c r="H808" t="s">
        <v>170</v>
      </c>
      <c r="I808" t="s">
        <v>187</v>
      </c>
    </row>
    <row r="809" spans="1:9">
      <c r="A809" s="50">
        <v>45931</v>
      </c>
      <c r="B809" s="51">
        <v>0</v>
      </c>
      <c r="C809" t="s">
        <v>167</v>
      </c>
      <c r="D809" t="s">
        <v>34</v>
      </c>
      <c r="E809" t="s">
        <v>208</v>
      </c>
      <c r="F809" t="s">
        <v>308</v>
      </c>
      <c r="G809">
        <v>39281</v>
      </c>
      <c r="H809" t="s">
        <v>170</v>
      </c>
      <c r="I809" t="s">
        <v>237</v>
      </c>
    </row>
    <row r="810" spans="1:9">
      <c r="A810" s="50">
        <v>45930</v>
      </c>
      <c r="B810" s="51">
        <v>0.9791435185185186</v>
      </c>
      <c r="C810" t="s">
        <v>167</v>
      </c>
      <c r="D810" t="s">
        <v>42</v>
      </c>
      <c r="E810" t="s">
        <v>338</v>
      </c>
      <c r="F810" t="s">
        <v>339</v>
      </c>
      <c r="G810">
        <v>-25000</v>
      </c>
      <c r="H810" t="s">
        <v>170</v>
      </c>
      <c r="I810" t="s">
        <v>187</v>
      </c>
    </row>
    <row r="811" spans="1:9">
      <c r="A811" s="50">
        <v>45930</v>
      </c>
      <c r="B811" s="51">
        <v>0.8614236111111111</v>
      </c>
      <c r="C811" t="s">
        <v>167</v>
      </c>
      <c r="D811" t="s">
        <v>34</v>
      </c>
      <c r="E811" t="s">
        <v>208</v>
      </c>
      <c r="F811" t="s">
        <v>308</v>
      </c>
      <c r="G811">
        <v>-35900</v>
      </c>
      <c r="H811" t="s">
        <v>170</v>
      </c>
      <c r="I811" t="s">
        <v>237</v>
      </c>
    </row>
    <row r="812" spans="1:9">
      <c r="A812" s="50">
        <v>45930</v>
      </c>
      <c r="B812" s="51">
        <v>0.8456134259259259</v>
      </c>
      <c r="C812" t="s">
        <v>167</v>
      </c>
      <c r="D812" t="s">
        <v>38</v>
      </c>
      <c r="E812" t="s">
        <v>181</v>
      </c>
      <c r="F812" t="s">
        <v>192</v>
      </c>
      <c r="G812">
        <v>-2300</v>
      </c>
      <c r="H812" t="s">
        <v>170</v>
      </c>
      <c r="I812" t="s">
        <v>171</v>
      </c>
    </row>
    <row r="813" spans="1:9">
      <c r="A813" s="50">
        <v>45930</v>
      </c>
      <c r="B813" s="51">
        <v>0.3768287037037037</v>
      </c>
      <c r="C813" t="s">
        <v>167</v>
      </c>
      <c r="D813" t="s">
        <v>47</v>
      </c>
      <c r="E813" t="s">
        <v>238</v>
      </c>
      <c r="F813" t="s">
        <v>519</v>
      </c>
      <c r="G813">
        <v>609</v>
      </c>
      <c r="H813" t="s">
        <v>170</v>
      </c>
      <c r="I813" t="s">
        <v>456</v>
      </c>
    </row>
    <row r="814" spans="1:9">
      <c r="A814" s="50">
        <v>45930</v>
      </c>
      <c r="B814" s="51">
        <v>0.2730902777777778</v>
      </c>
      <c r="C814" t="s">
        <v>167</v>
      </c>
      <c r="D814" t="s">
        <v>33</v>
      </c>
      <c r="E814" t="s">
        <v>282</v>
      </c>
      <c r="F814" t="s">
        <v>287</v>
      </c>
      <c r="G814">
        <v>-59000</v>
      </c>
      <c r="H814" t="s">
        <v>170</v>
      </c>
      <c r="I814" t="s">
        <v>243</v>
      </c>
    </row>
    <row r="815" spans="1:9">
      <c r="A815" s="50">
        <v>45930</v>
      </c>
      <c r="B815" s="51">
        <v>0.2671875</v>
      </c>
      <c r="C815" t="s">
        <v>167</v>
      </c>
      <c r="D815" t="s">
        <v>33</v>
      </c>
      <c r="E815" t="s">
        <v>282</v>
      </c>
      <c r="F815" t="s">
        <v>287</v>
      </c>
      <c r="G815">
        <v>-49700</v>
      </c>
      <c r="H815" t="s">
        <v>170</v>
      </c>
      <c r="I815" t="s">
        <v>243</v>
      </c>
    </row>
    <row r="816" spans="1:9">
      <c r="A816" s="50">
        <v>45930</v>
      </c>
      <c r="B816" s="51">
        <v>0</v>
      </c>
      <c r="C816" t="s">
        <v>167</v>
      </c>
      <c r="D816" t="s">
        <v>34</v>
      </c>
      <c r="E816" t="s">
        <v>206</v>
      </c>
      <c r="F816" t="s">
        <v>520</v>
      </c>
      <c r="G816">
        <v>-200</v>
      </c>
      <c r="H816" t="s">
        <v>170</v>
      </c>
      <c r="I816" t="s">
        <v>187</v>
      </c>
    </row>
    <row r="817" spans="1:9">
      <c r="A817" s="50">
        <v>45929</v>
      </c>
      <c r="B817" s="51">
        <v>0.7776967592592593</v>
      </c>
      <c r="C817" t="s">
        <v>167</v>
      </c>
      <c r="D817" t="s">
        <v>38</v>
      </c>
      <c r="E817" t="s">
        <v>181</v>
      </c>
      <c r="F817" t="s">
        <v>192</v>
      </c>
      <c r="G817">
        <v>-4200</v>
      </c>
      <c r="H817" t="s">
        <v>170</v>
      </c>
      <c r="I817" t="s">
        <v>171</v>
      </c>
    </row>
    <row r="818" spans="1:9">
      <c r="A818" s="50">
        <v>45929</v>
      </c>
      <c r="B818" s="51">
        <v>0.7651967592592592</v>
      </c>
      <c r="C818" t="s">
        <v>167</v>
      </c>
      <c r="D818" t="s">
        <v>42</v>
      </c>
      <c r="E818" t="s">
        <v>442</v>
      </c>
      <c r="F818" t="s">
        <v>521</v>
      </c>
      <c r="G818">
        <v>-30510</v>
      </c>
      <c r="H818" t="s">
        <v>170</v>
      </c>
      <c r="I818" t="s">
        <v>187</v>
      </c>
    </row>
    <row r="819" spans="1:9">
      <c r="A819" s="50">
        <v>45929</v>
      </c>
      <c r="B819" s="51">
        <v>0.4007407407407407</v>
      </c>
      <c r="C819" t="s">
        <v>172</v>
      </c>
      <c r="D819" t="s">
        <v>248</v>
      </c>
      <c r="E819" t="s">
        <v>173</v>
      </c>
      <c r="F819" t="s">
        <v>522</v>
      </c>
      <c r="G819">
        <v>330000</v>
      </c>
      <c r="H819" t="s">
        <v>170</v>
      </c>
      <c r="I819" t="s">
        <v>61</v>
      </c>
    </row>
    <row r="820" spans="1:9">
      <c r="A820" s="50">
        <v>45928</v>
      </c>
      <c r="B820" s="51">
        <v>0.7587152777777778</v>
      </c>
      <c r="C820" t="s">
        <v>167</v>
      </c>
      <c r="D820" t="s">
        <v>46</v>
      </c>
      <c r="E820" t="s">
        <v>423</v>
      </c>
      <c r="F820" t="s">
        <v>424</v>
      </c>
      <c r="G820">
        <v>-17400</v>
      </c>
      <c r="H820" t="s">
        <v>170</v>
      </c>
      <c r="I820" t="s">
        <v>171</v>
      </c>
    </row>
    <row r="821" spans="1:9">
      <c r="A821" s="50">
        <v>45927</v>
      </c>
      <c r="B821" s="51">
        <v>0.956400462962963</v>
      </c>
      <c r="C821" t="s">
        <v>167</v>
      </c>
      <c r="D821" t="s">
        <v>40</v>
      </c>
      <c r="E821" t="s">
        <v>261</v>
      </c>
      <c r="F821" t="s">
        <v>262</v>
      </c>
      <c r="G821">
        <v>-12500</v>
      </c>
      <c r="H821" t="s">
        <v>170</v>
      </c>
      <c r="I821" t="s">
        <v>243</v>
      </c>
    </row>
    <row r="822" spans="1:9">
      <c r="A822" s="50">
        <v>45927</v>
      </c>
      <c r="B822" s="51">
        <v>0.446400462962963</v>
      </c>
      <c r="C822" t="s">
        <v>167</v>
      </c>
      <c r="D822" t="s">
        <v>42</v>
      </c>
      <c r="E822" t="s">
        <v>235</v>
      </c>
      <c r="F822" t="s">
        <v>242</v>
      </c>
      <c r="G822">
        <v>-12480</v>
      </c>
      <c r="H822" t="s">
        <v>170</v>
      </c>
      <c r="I822" t="s">
        <v>243</v>
      </c>
    </row>
    <row r="823" spans="1:9">
      <c r="A823" s="50">
        <v>45927</v>
      </c>
      <c r="B823" s="51">
        <v>0.44125</v>
      </c>
      <c r="C823" t="s">
        <v>167</v>
      </c>
      <c r="D823" t="s">
        <v>46</v>
      </c>
      <c r="E823" t="s">
        <v>423</v>
      </c>
      <c r="F823" t="s">
        <v>424</v>
      </c>
      <c r="G823">
        <v>-7350</v>
      </c>
      <c r="H823" t="s">
        <v>170</v>
      </c>
      <c r="I823" t="s">
        <v>171</v>
      </c>
    </row>
    <row r="824" spans="1:9">
      <c r="A824" s="50">
        <v>45927</v>
      </c>
      <c r="B824" s="51">
        <v>0.2382523148148148</v>
      </c>
      <c r="C824" t="s">
        <v>233</v>
      </c>
      <c r="D824" t="s">
        <v>28</v>
      </c>
      <c r="E824" t="s">
        <v>173</v>
      </c>
      <c r="F824" t="s">
        <v>278</v>
      </c>
      <c r="G824">
        <v>8</v>
      </c>
      <c r="H824" t="s">
        <v>170</v>
      </c>
      <c r="I824" t="s">
        <v>60</v>
      </c>
    </row>
    <row r="825" spans="1:9">
      <c r="A825" s="50">
        <v>45926</v>
      </c>
      <c r="B825" s="51">
        <v>0.7658333333333334</v>
      </c>
      <c r="C825" t="s">
        <v>172</v>
      </c>
      <c r="D825" t="s">
        <v>195</v>
      </c>
      <c r="E825" t="s">
        <v>173</v>
      </c>
      <c r="F825" t="s">
        <v>264</v>
      </c>
      <c r="G825">
        <v>14150</v>
      </c>
      <c r="H825" t="s">
        <v>170</v>
      </c>
      <c r="I825" t="s">
        <v>175</v>
      </c>
    </row>
    <row r="826" spans="1:9">
      <c r="A826" s="50">
        <v>45926</v>
      </c>
      <c r="B826" s="51">
        <v>0.7658333333333334</v>
      </c>
      <c r="C826" t="s">
        <v>167</v>
      </c>
      <c r="D826" t="s">
        <v>42</v>
      </c>
      <c r="E826" t="s">
        <v>235</v>
      </c>
      <c r="F826" t="s">
        <v>368</v>
      </c>
      <c r="G826">
        <v>-26000</v>
      </c>
      <c r="H826" t="s">
        <v>170</v>
      </c>
      <c r="I826" t="s">
        <v>253</v>
      </c>
    </row>
    <row r="827" spans="1:9">
      <c r="A827" s="50">
        <v>45926</v>
      </c>
      <c r="B827" s="51">
        <v>0.7614699074074074</v>
      </c>
      <c r="C827" t="s">
        <v>167</v>
      </c>
      <c r="D827" t="s">
        <v>40</v>
      </c>
      <c r="E827" t="s">
        <v>261</v>
      </c>
      <c r="F827" t="s">
        <v>262</v>
      </c>
      <c r="G827">
        <v>-21500</v>
      </c>
      <c r="H827" t="s">
        <v>170</v>
      </c>
      <c r="I827" t="s">
        <v>243</v>
      </c>
    </row>
    <row r="828" spans="1:9">
      <c r="A828" s="50">
        <v>45926</v>
      </c>
      <c r="B828" s="51">
        <v>0.03144675925925926</v>
      </c>
      <c r="C828" t="s">
        <v>167</v>
      </c>
      <c r="D828" t="s">
        <v>46</v>
      </c>
      <c r="E828" t="s">
        <v>168</v>
      </c>
      <c r="F828" t="s">
        <v>279</v>
      </c>
      <c r="G828">
        <v>-127000</v>
      </c>
      <c r="H828" t="s">
        <v>170</v>
      </c>
      <c r="I828" t="s">
        <v>237</v>
      </c>
    </row>
    <row r="829" spans="1:9">
      <c r="A829" s="50">
        <v>45925</v>
      </c>
      <c r="B829" s="51">
        <v>0.9203703703703704</v>
      </c>
      <c r="C829" t="s">
        <v>167</v>
      </c>
      <c r="D829" t="s">
        <v>34</v>
      </c>
      <c r="E829" t="s">
        <v>208</v>
      </c>
      <c r="F829" t="s">
        <v>308</v>
      </c>
      <c r="G829">
        <v>-39281</v>
      </c>
      <c r="H829" t="s">
        <v>170</v>
      </c>
      <c r="I829" t="s">
        <v>237</v>
      </c>
    </row>
    <row r="830" spans="1:9">
      <c r="A830" s="50">
        <v>45925</v>
      </c>
      <c r="B830" s="51">
        <v>0.9201736111111111</v>
      </c>
      <c r="C830" t="s">
        <v>167</v>
      </c>
      <c r="D830" t="s">
        <v>47</v>
      </c>
      <c r="E830" t="s">
        <v>238</v>
      </c>
      <c r="F830" t="s">
        <v>519</v>
      </c>
      <c r="G830">
        <v>-5509</v>
      </c>
      <c r="H830" t="s">
        <v>170</v>
      </c>
      <c r="I830" t="s">
        <v>412</v>
      </c>
    </row>
    <row r="831" spans="1:9">
      <c r="A831" s="50">
        <v>45925</v>
      </c>
      <c r="B831" s="51">
        <v>0.9201736111111111</v>
      </c>
      <c r="C831" t="s">
        <v>167</v>
      </c>
      <c r="D831" t="s">
        <v>47</v>
      </c>
      <c r="E831" t="s">
        <v>238</v>
      </c>
      <c r="F831" t="s">
        <v>519</v>
      </c>
      <c r="G831">
        <v>-15000</v>
      </c>
      <c r="H831" t="s">
        <v>170</v>
      </c>
      <c r="I831" t="s">
        <v>456</v>
      </c>
    </row>
    <row r="832" spans="1:9">
      <c r="A832" s="50">
        <v>45925</v>
      </c>
      <c r="B832" s="51">
        <v>0.7832754629629629</v>
      </c>
      <c r="C832" t="s">
        <v>167</v>
      </c>
      <c r="D832" t="s">
        <v>40</v>
      </c>
      <c r="E832" t="s">
        <v>261</v>
      </c>
      <c r="F832" t="s">
        <v>262</v>
      </c>
      <c r="G832">
        <v>-16955</v>
      </c>
      <c r="H832" t="s">
        <v>170</v>
      </c>
      <c r="I832" t="s">
        <v>243</v>
      </c>
    </row>
    <row r="833" spans="1:9">
      <c r="A833" s="50">
        <v>45925</v>
      </c>
      <c r="B833" s="51">
        <v>0.7733564814814815</v>
      </c>
      <c r="C833" t="s">
        <v>167</v>
      </c>
      <c r="D833" t="s">
        <v>38</v>
      </c>
      <c r="E833" t="s">
        <v>181</v>
      </c>
      <c r="F833" t="s">
        <v>192</v>
      </c>
      <c r="G833">
        <v>-2300</v>
      </c>
      <c r="H833" t="s">
        <v>170</v>
      </c>
      <c r="I833" t="s">
        <v>171</v>
      </c>
    </row>
    <row r="834" spans="1:9">
      <c r="A834" s="50">
        <v>45925</v>
      </c>
      <c r="B834" s="51">
        <v>0.7426157407407408</v>
      </c>
      <c r="C834" t="s">
        <v>172</v>
      </c>
      <c r="D834" t="s">
        <v>195</v>
      </c>
      <c r="E834" t="s">
        <v>173</v>
      </c>
      <c r="F834" t="s">
        <v>7</v>
      </c>
      <c r="G834">
        <v>1000000</v>
      </c>
      <c r="H834" t="s">
        <v>170</v>
      </c>
      <c r="I834" t="s">
        <v>61</v>
      </c>
    </row>
    <row r="835" spans="1:9">
      <c r="A835" s="50">
        <v>45925</v>
      </c>
      <c r="B835" s="51">
        <v>0.7426041666666666</v>
      </c>
      <c r="C835" t="s">
        <v>172</v>
      </c>
      <c r="D835" t="s">
        <v>195</v>
      </c>
      <c r="E835" t="s">
        <v>173</v>
      </c>
      <c r="F835" t="s">
        <v>7</v>
      </c>
      <c r="G835">
        <v>-1000000</v>
      </c>
      <c r="H835" t="s">
        <v>170</v>
      </c>
      <c r="I835" t="s">
        <v>59</v>
      </c>
    </row>
    <row r="836" spans="1:9">
      <c r="A836" s="50">
        <v>45925</v>
      </c>
      <c r="B836" s="51">
        <v>0.7423032407407407</v>
      </c>
      <c r="C836" t="s">
        <v>172</v>
      </c>
      <c r="D836" t="s">
        <v>195</v>
      </c>
      <c r="E836" t="s">
        <v>173</v>
      </c>
      <c r="F836" t="s">
        <v>7</v>
      </c>
      <c r="G836">
        <v>-1000000</v>
      </c>
      <c r="H836" t="s">
        <v>170</v>
      </c>
      <c r="I836" t="s">
        <v>59</v>
      </c>
    </row>
    <row r="837" spans="1:9">
      <c r="A837" s="50">
        <v>45925</v>
      </c>
      <c r="B837" s="51">
        <v>0.5442708333333334</v>
      </c>
      <c r="C837" t="s">
        <v>167</v>
      </c>
      <c r="D837" t="s">
        <v>34</v>
      </c>
      <c r="E837" t="s">
        <v>208</v>
      </c>
      <c r="F837" t="s">
        <v>263</v>
      </c>
      <c r="G837">
        <v>-10000</v>
      </c>
      <c r="H837" t="s">
        <v>170</v>
      </c>
      <c r="I837" t="s">
        <v>175</v>
      </c>
    </row>
    <row r="838" spans="1:9">
      <c r="A838" s="50">
        <v>45925</v>
      </c>
      <c r="B838" s="51">
        <v>0.4784259259259259</v>
      </c>
      <c r="C838" t="s">
        <v>233</v>
      </c>
      <c r="D838" t="s">
        <v>29</v>
      </c>
      <c r="E838" t="s">
        <v>173</v>
      </c>
      <c r="F838" t="s">
        <v>286</v>
      </c>
      <c r="G838">
        <v>3157600</v>
      </c>
      <c r="H838" t="s">
        <v>170</v>
      </c>
      <c r="I838" t="s">
        <v>59</v>
      </c>
    </row>
    <row r="839" spans="1:9">
      <c r="A839" s="50">
        <v>45924</v>
      </c>
      <c r="B839" s="51">
        <v>0.771099537037037</v>
      </c>
      <c r="C839" t="s">
        <v>167</v>
      </c>
      <c r="D839" t="s">
        <v>40</v>
      </c>
      <c r="E839" t="s">
        <v>261</v>
      </c>
      <c r="F839" t="s">
        <v>262</v>
      </c>
      <c r="G839">
        <v>-20500</v>
      </c>
      <c r="H839" t="s">
        <v>170</v>
      </c>
      <c r="I839" t="s">
        <v>243</v>
      </c>
    </row>
    <row r="840" spans="1:9">
      <c r="A840" s="50">
        <v>45924</v>
      </c>
      <c r="B840" s="51">
        <v>0.5232291666666666</v>
      </c>
      <c r="C840" t="s">
        <v>167</v>
      </c>
      <c r="D840" t="s">
        <v>40</v>
      </c>
      <c r="E840" t="s">
        <v>193</v>
      </c>
      <c r="F840" t="s">
        <v>194</v>
      </c>
      <c r="G840">
        <v>-7500</v>
      </c>
      <c r="H840" t="s">
        <v>170</v>
      </c>
      <c r="I840" t="s">
        <v>171</v>
      </c>
    </row>
    <row r="841" spans="1:9">
      <c r="A841" s="50">
        <v>45923</v>
      </c>
      <c r="B841" s="51">
        <v>0.8941898148148149</v>
      </c>
      <c r="C841" t="s">
        <v>167</v>
      </c>
      <c r="D841" t="s">
        <v>46</v>
      </c>
      <c r="E841" t="s">
        <v>413</v>
      </c>
      <c r="F841" t="s">
        <v>414</v>
      </c>
      <c r="G841">
        <v>-7800</v>
      </c>
      <c r="H841" t="s">
        <v>170</v>
      </c>
      <c r="I841" t="s">
        <v>171</v>
      </c>
    </row>
    <row r="842" spans="1:9">
      <c r="A842" s="50">
        <v>45923</v>
      </c>
      <c r="B842" s="51">
        <v>0.8796990740740741</v>
      </c>
      <c r="C842" t="s">
        <v>167</v>
      </c>
      <c r="D842" t="s">
        <v>40</v>
      </c>
      <c r="E842" t="s">
        <v>383</v>
      </c>
      <c r="F842" t="s">
        <v>516</v>
      </c>
      <c r="G842">
        <v>-139500</v>
      </c>
      <c r="H842" t="s">
        <v>170</v>
      </c>
      <c r="I842" t="s">
        <v>171</v>
      </c>
    </row>
    <row r="843" spans="1:9">
      <c r="A843" s="50">
        <v>45923</v>
      </c>
      <c r="B843" s="51">
        <v>0.5244560185185185</v>
      </c>
      <c r="C843" t="s">
        <v>167</v>
      </c>
      <c r="D843" t="s">
        <v>35</v>
      </c>
      <c r="E843" t="s">
        <v>293</v>
      </c>
      <c r="F843" t="s">
        <v>523</v>
      </c>
      <c r="G843">
        <v>-10000</v>
      </c>
      <c r="H843" t="s">
        <v>170</v>
      </c>
      <c r="I843" t="s">
        <v>171</v>
      </c>
    </row>
    <row r="844" spans="1:9">
      <c r="A844" s="50">
        <v>45922</v>
      </c>
      <c r="B844" s="51">
        <v>0.7733217592592593</v>
      </c>
      <c r="C844" t="s">
        <v>167</v>
      </c>
      <c r="D844" t="s">
        <v>38</v>
      </c>
      <c r="E844" t="s">
        <v>181</v>
      </c>
      <c r="F844" t="s">
        <v>192</v>
      </c>
      <c r="G844">
        <v>-2300</v>
      </c>
      <c r="H844" t="s">
        <v>170</v>
      </c>
      <c r="I844" t="s">
        <v>171</v>
      </c>
    </row>
    <row r="845" spans="1:9">
      <c r="A845" s="50">
        <v>45922</v>
      </c>
      <c r="B845" s="51">
        <v>0.7504050925925926</v>
      </c>
      <c r="C845" t="s">
        <v>167</v>
      </c>
      <c r="D845" t="s">
        <v>40</v>
      </c>
      <c r="E845" t="s">
        <v>261</v>
      </c>
      <c r="F845" t="s">
        <v>262</v>
      </c>
      <c r="G845">
        <v>-24000</v>
      </c>
      <c r="H845" t="s">
        <v>170</v>
      </c>
      <c r="I845" t="s">
        <v>243</v>
      </c>
    </row>
    <row r="846" spans="1:9">
      <c r="A846" s="50">
        <v>45922</v>
      </c>
      <c r="B846" s="51">
        <v>0.5273958333333333</v>
      </c>
      <c r="C846" t="s">
        <v>167</v>
      </c>
      <c r="D846" t="s">
        <v>34</v>
      </c>
      <c r="E846" t="s">
        <v>208</v>
      </c>
      <c r="F846" t="s">
        <v>263</v>
      </c>
      <c r="G846">
        <v>-9000</v>
      </c>
      <c r="H846" t="s">
        <v>170</v>
      </c>
      <c r="I846" t="s">
        <v>175</v>
      </c>
    </row>
    <row r="847" spans="1:9">
      <c r="A847" s="50">
        <v>45922</v>
      </c>
      <c r="B847" s="51">
        <v>0.3493518518518519</v>
      </c>
      <c r="C847" t="s">
        <v>167</v>
      </c>
      <c r="D847" t="s">
        <v>35</v>
      </c>
      <c r="E847" t="s">
        <v>225</v>
      </c>
      <c r="F847" t="s">
        <v>226</v>
      </c>
      <c r="G847">
        <v>-3500</v>
      </c>
      <c r="H847" t="s">
        <v>170</v>
      </c>
      <c r="I847" t="s">
        <v>171</v>
      </c>
    </row>
    <row r="848" spans="1:9">
      <c r="A848" s="50">
        <v>45921</v>
      </c>
      <c r="B848" s="51">
        <v>0.8221527777777777</v>
      </c>
      <c r="C848" t="s">
        <v>167</v>
      </c>
      <c r="D848" t="s">
        <v>33</v>
      </c>
      <c r="E848" t="s">
        <v>385</v>
      </c>
      <c r="F848" t="s">
        <v>386</v>
      </c>
      <c r="G848">
        <v>-43500</v>
      </c>
      <c r="H848" t="s">
        <v>170</v>
      </c>
      <c r="I848" t="s">
        <v>237</v>
      </c>
    </row>
    <row r="849" spans="1:9">
      <c r="A849" s="50">
        <v>45921</v>
      </c>
      <c r="B849" s="51">
        <v>0.8114930555555555</v>
      </c>
      <c r="C849" t="s">
        <v>167</v>
      </c>
      <c r="D849" t="s">
        <v>34</v>
      </c>
      <c r="E849" t="s">
        <v>208</v>
      </c>
      <c r="F849" t="s">
        <v>263</v>
      </c>
      <c r="G849">
        <v>-200000</v>
      </c>
      <c r="H849" t="s">
        <v>170</v>
      </c>
      <c r="I849" t="s">
        <v>175</v>
      </c>
    </row>
    <row r="850" spans="1:9">
      <c r="A850" s="50">
        <v>45921</v>
      </c>
      <c r="B850" s="51">
        <v>0.8112152777777778</v>
      </c>
      <c r="C850" t="s">
        <v>167</v>
      </c>
      <c r="D850" t="s">
        <v>35</v>
      </c>
      <c r="E850" t="s">
        <v>360</v>
      </c>
      <c r="F850" t="s">
        <v>252</v>
      </c>
      <c r="G850">
        <v>-9450</v>
      </c>
      <c r="H850" t="s">
        <v>170</v>
      </c>
      <c r="I850" t="s">
        <v>253</v>
      </c>
    </row>
    <row r="851" spans="1:9">
      <c r="A851" s="50">
        <v>45921</v>
      </c>
      <c r="B851" s="51">
        <v>0.8082060185185185</v>
      </c>
      <c r="C851" t="s">
        <v>167</v>
      </c>
      <c r="D851" t="s">
        <v>33</v>
      </c>
      <c r="E851" t="s">
        <v>385</v>
      </c>
      <c r="F851" t="s">
        <v>386</v>
      </c>
      <c r="G851">
        <v>49300</v>
      </c>
      <c r="H851" t="s">
        <v>170</v>
      </c>
      <c r="I851" t="s">
        <v>237</v>
      </c>
    </row>
    <row r="852" spans="1:9">
      <c r="A852" s="50">
        <v>45921</v>
      </c>
      <c r="B852" s="51">
        <v>0.8082060185185185</v>
      </c>
      <c r="C852" t="s">
        <v>167</v>
      </c>
      <c r="D852" t="s">
        <v>33</v>
      </c>
      <c r="E852" t="s">
        <v>385</v>
      </c>
      <c r="F852" t="s">
        <v>386</v>
      </c>
      <c r="G852">
        <v>49300</v>
      </c>
      <c r="H852" t="s">
        <v>170</v>
      </c>
      <c r="I852" t="s">
        <v>237</v>
      </c>
    </row>
    <row r="853" spans="1:9">
      <c r="A853" s="50">
        <v>45921</v>
      </c>
      <c r="B853" s="51">
        <v>0.7737962962962963</v>
      </c>
      <c r="C853" t="s">
        <v>167</v>
      </c>
      <c r="D853" t="s">
        <v>46</v>
      </c>
      <c r="E853" t="s">
        <v>423</v>
      </c>
      <c r="F853" t="s">
        <v>424</v>
      </c>
      <c r="G853">
        <v>-25000</v>
      </c>
      <c r="H853" t="s">
        <v>170</v>
      </c>
      <c r="I853" t="s">
        <v>171</v>
      </c>
    </row>
    <row r="854" spans="1:9">
      <c r="A854" s="50">
        <v>45921</v>
      </c>
      <c r="B854" s="51">
        <v>0.7663541666666667</v>
      </c>
      <c r="C854" t="s">
        <v>167</v>
      </c>
      <c r="D854" t="s">
        <v>33</v>
      </c>
      <c r="E854" t="s">
        <v>385</v>
      </c>
      <c r="F854" t="s">
        <v>386</v>
      </c>
      <c r="G854">
        <v>-49300</v>
      </c>
      <c r="H854" t="s">
        <v>170</v>
      </c>
      <c r="I854" t="s">
        <v>237</v>
      </c>
    </row>
    <row r="855" spans="1:9">
      <c r="A855" s="50">
        <v>45921</v>
      </c>
      <c r="B855" s="51">
        <v>0.7654166666666666</v>
      </c>
      <c r="C855" t="s">
        <v>167</v>
      </c>
      <c r="D855" t="s">
        <v>33</v>
      </c>
      <c r="E855" t="s">
        <v>385</v>
      </c>
      <c r="F855" t="s">
        <v>386</v>
      </c>
      <c r="G855">
        <v>-49300</v>
      </c>
      <c r="H855" t="s">
        <v>170</v>
      </c>
      <c r="I855" t="s">
        <v>237</v>
      </c>
    </row>
    <row r="856" spans="1:9">
      <c r="A856" s="50">
        <v>45921</v>
      </c>
      <c r="B856" s="51">
        <v>0.665775462962963</v>
      </c>
      <c r="C856" t="s">
        <v>167</v>
      </c>
      <c r="D856" t="s">
        <v>33</v>
      </c>
      <c r="E856" t="s">
        <v>385</v>
      </c>
      <c r="F856" t="s">
        <v>479</v>
      </c>
      <c r="G856">
        <v>-12000</v>
      </c>
      <c r="H856" t="s">
        <v>170</v>
      </c>
      <c r="I856" t="s">
        <v>171</v>
      </c>
    </row>
    <row r="857" spans="1:9">
      <c r="A857" s="50">
        <v>45921</v>
      </c>
      <c r="B857" s="51">
        <v>0.5588310185185185</v>
      </c>
      <c r="C857" t="s">
        <v>167</v>
      </c>
      <c r="D857" t="s">
        <v>46</v>
      </c>
      <c r="E857" t="s">
        <v>168</v>
      </c>
      <c r="F857" t="s">
        <v>524</v>
      </c>
      <c r="G857">
        <v>-5700</v>
      </c>
      <c r="H857" t="s">
        <v>170</v>
      </c>
      <c r="I857" t="s">
        <v>253</v>
      </c>
    </row>
    <row r="858" spans="1:9">
      <c r="A858" s="50">
        <v>45921</v>
      </c>
      <c r="B858" s="51">
        <v>0.5120486111111111</v>
      </c>
      <c r="C858" t="s">
        <v>167</v>
      </c>
      <c r="D858" t="s">
        <v>40</v>
      </c>
      <c r="E858" t="s">
        <v>244</v>
      </c>
      <c r="F858" t="s">
        <v>525</v>
      </c>
      <c r="G858">
        <v>-26800</v>
      </c>
      <c r="H858" t="s">
        <v>170</v>
      </c>
      <c r="I858" t="s">
        <v>171</v>
      </c>
    </row>
    <row r="859" spans="1:9">
      <c r="A859" s="50">
        <v>45921</v>
      </c>
      <c r="B859" s="51">
        <v>0.4941087962962963</v>
      </c>
      <c r="C859" t="s">
        <v>167</v>
      </c>
      <c r="D859" t="s">
        <v>42</v>
      </c>
      <c r="E859" t="s">
        <v>188</v>
      </c>
      <c r="F859" t="s">
        <v>493</v>
      </c>
      <c r="G859">
        <v>-31083</v>
      </c>
      <c r="H859" t="s">
        <v>170</v>
      </c>
      <c r="I859" t="s">
        <v>187</v>
      </c>
    </row>
    <row r="860" spans="1:9">
      <c r="A860" s="50">
        <v>45921</v>
      </c>
      <c r="B860" s="51">
        <v>0.489525462962963</v>
      </c>
      <c r="C860" t="s">
        <v>167</v>
      </c>
      <c r="D860" t="s">
        <v>33</v>
      </c>
      <c r="E860" t="s">
        <v>385</v>
      </c>
      <c r="F860" t="s">
        <v>386</v>
      </c>
      <c r="G860">
        <v>-53500</v>
      </c>
      <c r="H860" t="s">
        <v>170</v>
      </c>
      <c r="I860" t="s">
        <v>237</v>
      </c>
    </row>
    <row r="861" spans="1:9">
      <c r="A861" s="50">
        <v>45921</v>
      </c>
      <c r="B861" s="51">
        <v>0.4892708333333333</v>
      </c>
      <c r="C861" t="s">
        <v>167</v>
      </c>
      <c r="D861" t="s">
        <v>33</v>
      </c>
      <c r="E861" t="s">
        <v>385</v>
      </c>
      <c r="F861" t="s">
        <v>386</v>
      </c>
      <c r="G861">
        <v>-53500</v>
      </c>
      <c r="H861" t="s">
        <v>170</v>
      </c>
      <c r="I861" t="s">
        <v>237</v>
      </c>
    </row>
    <row r="862" spans="1:9">
      <c r="A862" s="50">
        <v>45920</v>
      </c>
      <c r="B862" s="51">
        <v>0.8561805555555555</v>
      </c>
      <c r="C862" t="s">
        <v>167</v>
      </c>
      <c r="D862" t="s">
        <v>40</v>
      </c>
      <c r="E862" t="s">
        <v>176</v>
      </c>
      <c r="F862" t="s">
        <v>526</v>
      </c>
      <c r="G862">
        <v>-45000</v>
      </c>
      <c r="H862" t="s">
        <v>170</v>
      </c>
      <c r="I862" t="s">
        <v>171</v>
      </c>
    </row>
    <row r="863" spans="1:9">
      <c r="A863" s="50">
        <v>45920</v>
      </c>
      <c r="B863" s="51">
        <v>0.7402199074074074</v>
      </c>
      <c r="C863" t="s">
        <v>167</v>
      </c>
      <c r="D863" t="s">
        <v>46</v>
      </c>
      <c r="E863" t="s">
        <v>168</v>
      </c>
      <c r="F863" t="s">
        <v>178</v>
      </c>
      <c r="G863">
        <v>-1200</v>
      </c>
      <c r="H863" t="s">
        <v>170</v>
      </c>
      <c r="I863" t="s">
        <v>171</v>
      </c>
    </row>
    <row r="864" spans="1:9">
      <c r="A864" s="50">
        <v>45920</v>
      </c>
      <c r="B864" s="51">
        <v>0.7062847222222223</v>
      </c>
      <c r="C864" t="s">
        <v>167</v>
      </c>
      <c r="D864" t="s">
        <v>35</v>
      </c>
      <c r="E864" t="s">
        <v>527</v>
      </c>
      <c r="F864" t="s">
        <v>528</v>
      </c>
      <c r="G864">
        <v>-20000</v>
      </c>
      <c r="H864" t="s">
        <v>170</v>
      </c>
      <c r="I864" t="s">
        <v>171</v>
      </c>
    </row>
    <row r="865" spans="1:9">
      <c r="A865" s="50">
        <v>45920</v>
      </c>
      <c r="B865" s="51">
        <v>0.7052314814814815</v>
      </c>
      <c r="C865" t="s">
        <v>167</v>
      </c>
      <c r="D865" t="s">
        <v>35</v>
      </c>
      <c r="E865" t="s">
        <v>527</v>
      </c>
      <c r="F865" t="s">
        <v>528</v>
      </c>
      <c r="G865">
        <v>-9000</v>
      </c>
      <c r="H865" t="s">
        <v>170</v>
      </c>
      <c r="I865" t="s">
        <v>171</v>
      </c>
    </row>
    <row r="866" spans="1:9">
      <c r="A866" s="50">
        <v>45920</v>
      </c>
      <c r="B866" s="51">
        <v>0.6208680555555556</v>
      </c>
      <c r="C866" t="s">
        <v>167</v>
      </c>
      <c r="D866" t="s">
        <v>46</v>
      </c>
      <c r="E866" t="s">
        <v>168</v>
      </c>
      <c r="F866" t="s">
        <v>529</v>
      </c>
      <c r="G866">
        <v>-2000</v>
      </c>
      <c r="H866" t="s">
        <v>170</v>
      </c>
      <c r="I866" t="s">
        <v>171</v>
      </c>
    </row>
    <row r="867" spans="1:9">
      <c r="A867" s="50">
        <v>45920</v>
      </c>
      <c r="B867" s="51">
        <v>0.5976388888888889</v>
      </c>
      <c r="C867" t="s">
        <v>167</v>
      </c>
      <c r="D867" t="s">
        <v>35</v>
      </c>
      <c r="E867" t="s">
        <v>225</v>
      </c>
      <c r="F867" t="s">
        <v>530</v>
      </c>
      <c r="G867">
        <v>-2000</v>
      </c>
      <c r="H867" t="s">
        <v>170</v>
      </c>
      <c r="I867" t="s">
        <v>171</v>
      </c>
    </row>
    <row r="868" spans="1:9">
      <c r="A868" s="50">
        <v>45920</v>
      </c>
      <c r="B868" s="51">
        <v>0.5852546296296296</v>
      </c>
      <c r="C868" t="s">
        <v>167</v>
      </c>
      <c r="D868" t="s">
        <v>40</v>
      </c>
      <c r="E868" t="s">
        <v>176</v>
      </c>
      <c r="F868" t="s">
        <v>531</v>
      </c>
      <c r="G868">
        <v>-33000</v>
      </c>
      <c r="H868" t="s">
        <v>170</v>
      </c>
      <c r="I868" t="s">
        <v>171</v>
      </c>
    </row>
    <row r="869" spans="1:9">
      <c r="A869" s="50">
        <v>45920</v>
      </c>
      <c r="B869" s="51">
        <v>0.4651273148148148</v>
      </c>
      <c r="C869" t="s">
        <v>233</v>
      </c>
      <c r="D869" t="s">
        <v>28</v>
      </c>
      <c r="E869" t="s">
        <v>173</v>
      </c>
      <c r="F869" t="s">
        <v>291</v>
      </c>
      <c r="G869">
        <v>2418</v>
      </c>
      <c r="H869" t="s">
        <v>170</v>
      </c>
      <c r="I869" t="s">
        <v>61</v>
      </c>
    </row>
    <row r="870" spans="1:9">
      <c r="A870" s="50">
        <v>45919</v>
      </c>
      <c r="B870" s="51">
        <v>0.566400462962963</v>
      </c>
      <c r="C870" t="s">
        <v>167</v>
      </c>
      <c r="D870" t="s">
        <v>45</v>
      </c>
      <c r="E870" t="s">
        <v>185</v>
      </c>
      <c r="F870" t="s">
        <v>186</v>
      </c>
      <c r="G870">
        <v>-36080</v>
      </c>
      <c r="H870" t="s">
        <v>170</v>
      </c>
      <c r="I870" t="s">
        <v>187</v>
      </c>
    </row>
    <row r="871" spans="1:9">
      <c r="A871" s="50">
        <v>45919</v>
      </c>
      <c r="B871" s="51">
        <v>0.5240972222222222</v>
      </c>
      <c r="C871" t="s">
        <v>167</v>
      </c>
      <c r="D871" t="s">
        <v>40</v>
      </c>
      <c r="E871" t="s">
        <v>193</v>
      </c>
      <c r="F871" t="s">
        <v>194</v>
      </c>
      <c r="G871">
        <v>-7500</v>
      </c>
      <c r="H871" t="s">
        <v>170</v>
      </c>
      <c r="I871" t="s">
        <v>171</v>
      </c>
    </row>
    <row r="872" spans="1:9">
      <c r="A872" s="50">
        <v>45919</v>
      </c>
      <c r="B872" s="51">
        <v>0.3437268518518519</v>
      </c>
      <c r="C872" t="s">
        <v>167</v>
      </c>
      <c r="D872" t="s">
        <v>35</v>
      </c>
      <c r="E872" t="s">
        <v>197</v>
      </c>
      <c r="F872" t="s">
        <v>198</v>
      </c>
      <c r="G872">
        <v>-24000</v>
      </c>
      <c r="H872" t="s">
        <v>170</v>
      </c>
      <c r="I872" t="s">
        <v>199</v>
      </c>
    </row>
    <row r="873" spans="1:9">
      <c r="A873" s="50">
        <v>45918</v>
      </c>
      <c r="B873" s="51">
        <v>0.5217592592592593</v>
      </c>
      <c r="C873" t="s">
        <v>167</v>
      </c>
      <c r="D873" t="s">
        <v>40</v>
      </c>
      <c r="E873" t="s">
        <v>356</v>
      </c>
      <c r="F873" t="s">
        <v>472</v>
      </c>
      <c r="G873">
        <v>-90000</v>
      </c>
      <c r="H873" t="s">
        <v>170</v>
      </c>
      <c r="I873" t="s">
        <v>171</v>
      </c>
    </row>
    <row r="874" spans="1:9">
      <c r="A874" s="50">
        <v>45918</v>
      </c>
      <c r="B874" s="51">
        <v>0.3202083333333333</v>
      </c>
      <c r="C874" t="s">
        <v>167</v>
      </c>
      <c r="D874" t="s">
        <v>41</v>
      </c>
      <c r="E874" t="s">
        <v>452</v>
      </c>
      <c r="F874" t="s">
        <v>532</v>
      </c>
      <c r="G874">
        <v>-70000</v>
      </c>
      <c r="H874" t="s">
        <v>170</v>
      </c>
      <c r="I874" t="s">
        <v>253</v>
      </c>
    </row>
    <row r="875" spans="1:9">
      <c r="A875" s="50">
        <v>45917</v>
      </c>
      <c r="B875" s="51">
        <v>0.5491203703703704</v>
      </c>
      <c r="C875" t="s">
        <v>167</v>
      </c>
      <c r="D875" t="s">
        <v>34</v>
      </c>
      <c r="E875" t="s">
        <v>208</v>
      </c>
      <c r="F875" t="s">
        <v>263</v>
      </c>
      <c r="G875">
        <v>-11000</v>
      </c>
      <c r="H875" t="s">
        <v>170</v>
      </c>
      <c r="I875" t="s">
        <v>175</v>
      </c>
    </row>
    <row r="876" spans="1:9">
      <c r="A876" s="50">
        <v>45917</v>
      </c>
      <c r="B876" s="51">
        <v>0</v>
      </c>
      <c r="C876" t="s">
        <v>167</v>
      </c>
      <c r="D876" t="s">
        <v>41</v>
      </c>
      <c r="E876" t="s">
        <v>311</v>
      </c>
      <c r="F876" t="s">
        <v>533</v>
      </c>
      <c r="G876">
        <v>386100</v>
      </c>
      <c r="H876" t="s">
        <v>170</v>
      </c>
      <c r="I876" t="s">
        <v>237</v>
      </c>
    </row>
    <row r="877" spans="1:9">
      <c r="A877" s="50">
        <v>45917</v>
      </c>
      <c r="B877" s="51">
        <v>0</v>
      </c>
      <c r="C877" t="s">
        <v>167</v>
      </c>
      <c r="D877" t="s">
        <v>41</v>
      </c>
      <c r="E877" t="s">
        <v>311</v>
      </c>
      <c r="F877" t="s">
        <v>533</v>
      </c>
      <c r="G877">
        <v>105700</v>
      </c>
      <c r="H877" t="s">
        <v>170</v>
      </c>
      <c r="I877" t="s">
        <v>237</v>
      </c>
    </row>
    <row r="878" spans="1:9">
      <c r="A878" s="50">
        <v>45916</v>
      </c>
      <c r="B878" s="51">
        <v>0.8563541666666666</v>
      </c>
      <c r="C878" t="s">
        <v>167</v>
      </c>
      <c r="D878" t="s">
        <v>41</v>
      </c>
      <c r="E878" t="s">
        <v>210</v>
      </c>
      <c r="F878" t="s">
        <v>534</v>
      </c>
      <c r="G878">
        <v>61700</v>
      </c>
      <c r="H878" t="s">
        <v>170</v>
      </c>
      <c r="I878" t="s">
        <v>237</v>
      </c>
    </row>
    <row r="879" spans="1:9">
      <c r="A879" s="50">
        <v>45916</v>
      </c>
      <c r="B879" s="51">
        <v>0.8547453703703703</v>
      </c>
      <c r="C879" t="s">
        <v>167</v>
      </c>
      <c r="D879" t="s">
        <v>41</v>
      </c>
      <c r="E879" t="s">
        <v>210</v>
      </c>
      <c r="F879" t="s">
        <v>534</v>
      </c>
      <c r="G879">
        <v>-54700</v>
      </c>
      <c r="H879" t="s">
        <v>170</v>
      </c>
      <c r="I879" t="s">
        <v>237</v>
      </c>
    </row>
    <row r="880" spans="1:9">
      <c r="A880" s="50">
        <v>45916</v>
      </c>
      <c r="B880" s="51">
        <v>0.8420949074074074</v>
      </c>
      <c r="C880" t="s">
        <v>172</v>
      </c>
      <c r="D880" t="s">
        <v>172</v>
      </c>
      <c r="E880" t="s">
        <v>173</v>
      </c>
      <c r="F880" t="s">
        <v>535</v>
      </c>
      <c r="G880">
        <v>250000</v>
      </c>
      <c r="H880" t="s">
        <v>170</v>
      </c>
      <c r="I880" t="s">
        <v>175</v>
      </c>
    </row>
    <row r="881" spans="1:9">
      <c r="A881" s="50">
        <v>45916</v>
      </c>
      <c r="B881" s="51">
        <v>0.8408680555555555</v>
      </c>
      <c r="C881" t="s">
        <v>167</v>
      </c>
      <c r="D881" t="s">
        <v>41</v>
      </c>
      <c r="E881" t="s">
        <v>536</v>
      </c>
      <c r="F881" t="s">
        <v>537</v>
      </c>
      <c r="G881">
        <v>-2000</v>
      </c>
      <c r="H881" t="s">
        <v>170</v>
      </c>
      <c r="I881" t="s">
        <v>253</v>
      </c>
    </row>
    <row r="882" spans="1:9">
      <c r="A882" s="50">
        <v>45916</v>
      </c>
      <c r="B882" s="51">
        <v>0.8400810185185185</v>
      </c>
      <c r="C882" t="s">
        <v>167</v>
      </c>
      <c r="D882" t="s">
        <v>41</v>
      </c>
      <c r="E882" t="s">
        <v>311</v>
      </c>
      <c r="F882" t="s">
        <v>533</v>
      </c>
      <c r="G882">
        <v>-263400</v>
      </c>
      <c r="H882" t="s">
        <v>170</v>
      </c>
      <c r="I882" t="s">
        <v>237</v>
      </c>
    </row>
    <row r="883" spans="1:9">
      <c r="A883" s="50">
        <v>45916</v>
      </c>
      <c r="B883" s="51">
        <v>0.8222916666666666</v>
      </c>
      <c r="C883" t="s">
        <v>167</v>
      </c>
      <c r="D883" t="s">
        <v>41</v>
      </c>
      <c r="E883" t="s">
        <v>536</v>
      </c>
      <c r="F883" t="s">
        <v>537</v>
      </c>
      <c r="G883">
        <v>-1000</v>
      </c>
      <c r="H883" t="s">
        <v>170</v>
      </c>
      <c r="I883" t="s">
        <v>253</v>
      </c>
    </row>
    <row r="884" spans="1:9">
      <c r="A884" s="50">
        <v>45916</v>
      </c>
      <c r="B884" s="51">
        <v>0.8215046296296297</v>
      </c>
      <c r="C884" t="s">
        <v>167</v>
      </c>
      <c r="D884" t="s">
        <v>41</v>
      </c>
      <c r="E884" t="s">
        <v>536</v>
      </c>
      <c r="F884" t="s">
        <v>537</v>
      </c>
      <c r="G884">
        <v>-1000</v>
      </c>
      <c r="H884" t="s">
        <v>170</v>
      </c>
      <c r="I884" t="s">
        <v>253</v>
      </c>
    </row>
    <row r="885" spans="1:9">
      <c r="A885" s="50">
        <v>45916</v>
      </c>
      <c r="B885" s="51">
        <v>0.8181018518518518</v>
      </c>
      <c r="C885" t="s">
        <v>167</v>
      </c>
      <c r="D885" t="s">
        <v>41</v>
      </c>
      <c r="E885" t="s">
        <v>210</v>
      </c>
      <c r="F885" t="s">
        <v>534</v>
      </c>
      <c r="G885">
        <v>-61700</v>
      </c>
      <c r="H885" t="s">
        <v>170</v>
      </c>
      <c r="I885" t="s">
        <v>237</v>
      </c>
    </row>
    <row r="886" spans="1:9">
      <c r="A886" s="50">
        <v>45916</v>
      </c>
      <c r="B886" s="51">
        <v>0.8093287037037037</v>
      </c>
      <c r="C886" t="s">
        <v>167</v>
      </c>
      <c r="D886" t="s">
        <v>41</v>
      </c>
      <c r="E886" t="s">
        <v>311</v>
      </c>
      <c r="F886" t="s">
        <v>533</v>
      </c>
      <c r="G886">
        <v>-104100</v>
      </c>
      <c r="H886" t="s">
        <v>170</v>
      </c>
      <c r="I886" t="s">
        <v>237</v>
      </c>
    </row>
    <row r="887" spans="1:9">
      <c r="A887" s="50">
        <v>45915</v>
      </c>
      <c r="B887" s="51">
        <v>0.5405902777777778</v>
      </c>
      <c r="C887" t="s">
        <v>167</v>
      </c>
      <c r="D887" t="s">
        <v>38</v>
      </c>
      <c r="E887" t="s">
        <v>181</v>
      </c>
      <c r="F887" t="s">
        <v>538</v>
      </c>
      <c r="G887">
        <v>-2100</v>
      </c>
      <c r="H887" t="s">
        <v>170</v>
      </c>
      <c r="I887" t="s">
        <v>171</v>
      </c>
    </row>
    <row r="888" spans="1:9">
      <c r="A888" s="50">
        <v>45915</v>
      </c>
      <c r="B888" s="51">
        <v>0.5257291666666667</v>
      </c>
      <c r="C888" t="s">
        <v>167</v>
      </c>
      <c r="D888" t="s">
        <v>40</v>
      </c>
      <c r="E888" t="s">
        <v>193</v>
      </c>
      <c r="F888" t="s">
        <v>194</v>
      </c>
      <c r="G888">
        <v>-7500</v>
      </c>
      <c r="H888" t="s">
        <v>170</v>
      </c>
      <c r="I888" t="s">
        <v>171</v>
      </c>
    </row>
    <row r="889" spans="1:9">
      <c r="A889" s="50">
        <v>45915</v>
      </c>
      <c r="B889" s="51">
        <v>0.1308796296296296</v>
      </c>
      <c r="C889" t="s">
        <v>172</v>
      </c>
      <c r="D889" t="s">
        <v>200</v>
      </c>
      <c r="E889" t="s">
        <v>173</v>
      </c>
      <c r="F889" t="s">
        <v>201</v>
      </c>
      <c r="G889">
        <v>-389635</v>
      </c>
      <c r="H889" t="s">
        <v>170</v>
      </c>
      <c r="I889" t="s">
        <v>61</v>
      </c>
    </row>
    <row r="890" spans="1:9">
      <c r="A890" s="50">
        <v>45914</v>
      </c>
      <c r="B890" s="51">
        <v>0.9845717592592592</v>
      </c>
      <c r="C890" t="s">
        <v>167</v>
      </c>
      <c r="D890" t="s">
        <v>41</v>
      </c>
      <c r="E890" t="s">
        <v>452</v>
      </c>
      <c r="F890" t="s">
        <v>532</v>
      </c>
      <c r="G890">
        <v>-90000</v>
      </c>
      <c r="H890" t="s">
        <v>170</v>
      </c>
      <c r="I890" t="s">
        <v>253</v>
      </c>
    </row>
    <row r="891" spans="1:9">
      <c r="A891" s="50">
        <v>45914</v>
      </c>
      <c r="B891" s="51">
        <v>0.5206944444444445</v>
      </c>
      <c r="C891" t="s">
        <v>167</v>
      </c>
      <c r="D891" t="s">
        <v>38</v>
      </c>
      <c r="E891" t="s">
        <v>181</v>
      </c>
      <c r="F891" t="s">
        <v>428</v>
      </c>
      <c r="G891">
        <v>-19300</v>
      </c>
      <c r="H891" t="s">
        <v>170</v>
      </c>
      <c r="I891" t="s">
        <v>171</v>
      </c>
    </row>
    <row r="892" spans="1:9">
      <c r="A892" s="50">
        <v>45914</v>
      </c>
      <c r="B892" s="51">
        <v>0.4966319444444444</v>
      </c>
      <c r="C892" t="s">
        <v>167</v>
      </c>
      <c r="D892" t="s">
        <v>38</v>
      </c>
      <c r="E892" t="s">
        <v>181</v>
      </c>
      <c r="F892" t="s">
        <v>539</v>
      </c>
      <c r="G892">
        <v>-24800</v>
      </c>
      <c r="H892" t="s">
        <v>170</v>
      </c>
      <c r="I892" t="s">
        <v>171</v>
      </c>
    </row>
    <row r="893" spans="1:9">
      <c r="A893" s="50">
        <v>45913</v>
      </c>
      <c r="B893" s="51">
        <v>0.9439930555555556</v>
      </c>
      <c r="C893" t="s">
        <v>167</v>
      </c>
      <c r="D893" t="s">
        <v>38</v>
      </c>
      <c r="E893" t="s">
        <v>181</v>
      </c>
      <c r="F893" t="s">
        <v>540</v>
      </c>
      <c r="G893">
        <v>-10400</v>
      </c>
      <c r="H893" t="s">
        <v>170</v>
      </c>
      <c r="I893" t="s">
        <v>171</v>
      </c>
    </row>
    <row r="894" spans="1:9">
      <c r="A894" s="50">
        <v>45913</v>
      </c>
      <c r="B894" s="51">
        <v>0.8715856481481481</v>
      </c>
      <c r="C894" t="s">
        <v>167</v>
      </c>
      <c r="D894" t="s">
        <v>40</v>
      </c>
      <c r="E894" t="s">
        <v>176</v>
      </c>
      <c r="F894" t="s">
        <v>541</v>
      </c>
      <c r="G894">
        <v>-3000</v>
      </c>
      <c r="H894" t="s">
        <v>170</v>
      </c>
      <c r="I894" t="s">
        <v>171</v>
      </c>
    </row>
    <row r="895" spans="1:9">
      <c r="A895" s="50">
        <v>45913</v>
      </c>
      <c r="B895" s="51">
        <v>0.8703703703703703</v>
      </c>
      <c r="C895" t="s">
        <v>167</v>
      </c>
      <c r="D895" t="s">
        <v>40</v>
      </c>
      <c r="E895" t="s">
        <v>176</v>
      </c>
      <c r="F895" t="s">
        <v>541</v>
      </c>
      <c r="G895">
        <v>-3000</v>
      </c>
      <c r="H895" t="s">
        <v>170</v>
      </c>
      <c r="I895" t="s">
        <v>171</v>
      </c>
    </row>
    <row r="896" spans="1:9">
      <c r="A896" s="50">
        <v>45913</v>
      </c>
      <c r="B896" s="51">
        <v>0.8659953703703703</v>
      </c>
      <c r="C896" t="s">
        <v>167</v>
      </c>
      <c r="D896" t="s">
        <v>40</v>
      </c>
      <c r="E896" t="s">
        <v>383</v>
      </c>
      <c r="F896" t="s">
        <v>542</v>
      </c>
      <c r="G896">
        <v>-81000</v>
      </c>
      <c r="H896" t="s">
        <v>170</v>
      </c>
      <c r="I896" t="s">
        <v>171</v>
      </c>
    </row>
    <row r="897" spans="1:9">
      <c r="A897" s="50">
        <v>45913</v>
      </c>
      <c r="B897" s="51">
        <v>0.7385879629629629</v>
      </c>
      <c r="C897" t="s">
        <v>167</v>
      </c>
      <c r="D897" t="s">
        <v>44</v>
      </c>
      <c r="E897" t="s">
        <v>543</v>
      </c>
      <c r="F897" t="s">
        <v>544</v>
      </c>
      <c r="G897">
        <v>-1400</v>
      </c>
      <c r="H897" t="s">
        <v>170</v>
      </c>
      <c r="I897" t="s">
        <v>171</v>
      </c>
    </row>
    <row r="898" spans="1:9">
      <c r="A898" s="50">
        <v>45913</v>
      </c>
      <c r="B898" s="51">
        <v>0.6843518518518519</v>
      </c>
      <c r="C898" t="s">
        <v>167</v>
      </c>
      <c r="D898" t="s">
        <v>45</v>
      </c>
      <c r="E898" t="s">
        <v>545</v>
      </c>
      <c r="F898" t="s">
        <v>546</v>
      </c>
      <c r="G898">
        <v>-500</v>
      </c>
      <c r="H898" t="s">
        <v>170</v>
      </c>
      <c r="I898" t="s">
        <v>171</v>
      </c>
    </row>
    <row r="899" spans="1:9">
      <c r="A899" s="50">
        <v>45913</v>
      </c>
      <c r="B899" s="51">
        <v>0.6705208333333333</v>
      </c>
      <c r="C899" t="s">
        <v>167</v>
      </c>
      <c r="D899" t="s">
        <v>46</v>
      </c>
      <c r="E899" t="s">
        <v>219</v>
      </c>
      <c r="F899" t="s">
        <v>547</v>
      </c>
      <c r="G899">
        <v>-2500</v>
      </c>
      <c r="H899" t="s">
        <v>170</v>
      </c>
      <c r="I899" t="s">
        <v>171</v>
      </c>
    </row>
    <row r="900" spans="1:9">
      <c r="A900" s="50">
        <v>45913</v>
      </c>
      <c r="B900" s="51">
        <v>0.5217361111111111</v>
      </c>
      <c r="C900" t="s">
        <v>167</v>
      </c>
      <c r="D900" t="s">
        <v>40</v>
      </c>
      <c r="E900" t="s">
        <v>356</v>
      </c>
      <c r="F900" t="s">
        <v>548</v>
      </c>
      <c r="G900">
        <v>-16500</v>
      </c>
      <c r="H900" t="s">
        <v>170</v>
      </c>
      <c r="I900" t="s">
        <v>171</v>
      </c>
    </row>
    <row r="901" spans="1:9">
      <c r="A901" s="50">
        <v>45912</v>
      </c>
      <c r="B901" s="51">
        <v>0.9440856481481481</v>
      </c>
      <c r="C901" t="s">
        <v>167</v>
      </c>
      <c r="D901" t="s">
        <v>33</v>
      </c>
      <c r="E901" t="s">
        <v>385</v>
      </c>
      <c r="F901" t="s">
        <v>386</v>
      </c>
      <c r="G901">
        <v>53500</v>
      </c>
      <c r="H901" t="s">
        <v>170</v>
      </c>
      <c r="I901" t="s">
        <v>237</v>
      </c>
    </row>
    <row r="902" spans="1:9">
      <c r="A902" s="50">
        <v>45912</v>
      </c>
      <c r="B902" s="51">
        <v>0.9437152777777778</v>
      </c>
      <c r="C902" t="s">
        <v>167</v>
      </c>
      <c r="D902" t="s">
        <v>33</v>
      </c>
      <c r="E902" t="s">
        <v>385</v>
      </c>
      <c r="F902" t="s">
        <v>386</v>
      </c>
      <c r="G902">
        <v>-53500</v>
      </c>
      <c r="H902" t="s">
        <v>170</v>
      </c>
      <c r="I902" t="s">
        <v>237</v>
      </c>
    </row>
    <row r="903" spans="1:9">
      <c r="A903" s="50">
        <v>45912</v>
      </c>
      <c r="B903" s="51">
        <v>0.9043287037037037</v>
      </c>
      <c r="C903" t="s">
        <v>167</v>
      </c>
      <c r="D903" t="s">
        <v>33</v>
      </c>
      <c r="E903" t="s">
        <v>385</v>
      </c>
      <c r="F903" t="s">
        <v>386</v>
      </c>
      <c r="G903">
        <v>-53500</v>
      </c>
      <c r="H903" t="s">
        <v>170</v>
      </c>
      <c r="I903" t="s">
        <v>237</v>
      </c>
    </row>
    <row r="904" spans="1:9">
      <c r="A904" s="50">
        <v>45912</v>
      </c>
      <c r="B904" s="51">
        <v>0.9033564814814815</v>
      </c>
      <c r="C904" t="s">
        <v>167</v>
      </c>
      <c r="D904" t="s">
        <v>33</v>
      </c>
      <c r="E904" t="s">
        <v>385</v>
      </c>
      <c r="F904" t="s">
        <v>386</v>
      </c>
      <c r="G904">
        <v>-53500</v>
      </c>
      <c r="H904" t="s">
        <v>170</v>
      </c>
      <c r="I904" t="s">
        <v>237</v>
      </c>
    </row>
    <row r="905" spans="1:9">
      <c r="A905" s="50">
        <v>45912</v>
      </c>
      <c r="B905" s="51">
        <v>0.5464699074074074</v>
      </c>
      <c r="C905" t="s">
        <v>167</v>
      </c>
      <c r="D905" t="s">
        <v>35</v>
      </c>
      <c r="E905" t="s">
        <v>225</v>
      </c>
      <c r="F905" t="s">
        <v>226</v>
      </c>
      <c r="G905">
        <v>-3500</v>
      </c>
      <c r="H905" t="s">
        <v>170</v>
      </c>
      <c r="I905" t="s">
        <v>171</v>
      </c>
    </row>
    <row r="906" spans="1:9">
      <c r="A906" s="50">
        <v>45912</v>
      </c>
      <c r="B906" s="51">
        <v>0.5270023148148149</v>
      </c>
      <c r="C906" t="s">
        <v>167</v>
      </c>
      <c r="D906" t="s">
        <v>40</v>
      </c>
      <c r="E906" t="s">
        <v>244</v>
      </c>
      <c r="F906" t="s">
        <v>314</v>
      </c>
      <c r="G906">
        <v>-14900</v>
      </c>
      <c r="H906" t="s">
        <v>170</v>
      </c>
      <c r="I906" t="s">
        <v>171</v>
      </c>
    </row>
    <row r="907" spans="1:9">
      <c r="A907" s="50">
        <v>45911</v>
      </c>
      <c r="B907" s="51">
        <v>0.9691666666666666</v>
      </c>
      <c r="C907" t="s">
        <v>167</v>
      </c>
      <c r="D907" t="s">
        <v>35</v>
      </c>
      <c r="E907" t="s">
        <v>197</v>
      </c>
      <c r="F907" t="s">
        <v>198</v>
      </c>
      <c r="G907">
        <v>-12000</v>
      </c>
      <c r="H907" t="s">
        <v>170</v>
      </c>
      <c r="I907" t="s">
        <v>199</v>
      </c>
    </row>
    <row r="908" spans="1:9">
      <c r="A908" s="50">
        <v>45911</v>
      </c>
      <c r="B908" s="51">
        <v>0.7488773148148148</v>
      </c>
      <c r="C908" t="s">
        <v>172</v>
      </c>
      <c r="D908" t="s">
        <v>195</v>
      </c>
      <c r="E908" t="s">
        <v>173</v>
      </c>
      <c r="F908" t="s">
        <v>7</v>
      </c>
      <c r="G908">
        <v>700000</v>
      </c>
      <c r="H908" t="s">
        <v>170</v>
      </c>
      <c r="I908" t="s">
        <v>67</v>
      </c>
    </row>
    <row r="909" spans="1:9">
      <c r="A909" s="50">
        <v>45911</v>
      </c>
      <c r="B909" s="51">
        <v>0.7488773148148148</v>
      </c>
      <c r="C909" t="s">
        <v>172</v>
      </c>
      <c r="D909" t="s">
        <v>195</v>
      </c>
      <c r="E909" t="s">
        <v>173</v>
      </c>
      <c r="F909" t="s">
        <v>549</v>
      </c>
      <c r="G909">
        <v>-700000</v>
      </c>
      <c r="H909" t="s">
        <v>170</v>
      </c>
      <c r="I909" t="s">
        <v>59</v>
      </c>
    </row>
    <row r="910" spans="1:9">
      <c r="A910" s="50">
        <v>45911</v>
      </c>
      <c r="B910" s="51">
        <v>0.5567592592592593</v>
      </c>
      <c r="C910" t="s">
        <v>172</v>
      </c>
      <c r="D910" t="s">
        <v>195</v>
      </c>
      <c r="E910" t="s">
        <v>173</v>
      </c>
      <c r="F910" t="s">
        <v>264</v>
      </c>
      <c r="G910">
        <v>10000</v>
      </c>
      <c r="H910" t="s">
        <v>170</v>
      </c>
      <c r="I910" t="s">
        <v>175</v>
      </c>
    </row>
    <row r="911" spans="1:9">
      <c r="A911" s="50">
        <v>45911</v>
      </c>
      <c r="B911" s="51">
        <v>0.5567592592592593</v>
      </c>
      <c r="C911" t="s">
        <v>167</v>
      </c>
      <c r="D911" t="s">
        <v>34</v>
      </c>
      <c r="E911" t="s">
        <v>208</v>
      </c>
      <c r="F911" t="s">
        <v>263</v>
      </c>
      <c r="G911">
        <v>-9000</v>
      </c>
      <c r="H911" t="s">
        <v>170</v>
      </c>
      <c r="I911" t="s">
        <v>175</v>
      </c>
    </row>
    <row r="912" spans="1:9">
      <c r="A912" s="50">
        <v>45910</v>
      </c>
      <c r="B912" s="51">
        <v>0.9174074074074074</v>
      </c>
      <c r="C912" t="s">
        <v>167</v>
      </c>
      <c r="D912" t="s">
        <v>41</v>
      </c>
      <c r="E912" t="s">
        <v>452</v>
      </c>
      <c r="F912" t="s">
        <v>532</v>
      </c>
      <c r="G912">
        <v>-40000</v>
      </c>
      <c r="H912" t="s">
        <v>170</v>
      </c>
      <c r="I912" t="s">
        <v>253</v>
      </c>
    </row>
    <row r="913" spans="1:9">
      <c r="A913" s="50">
        <v>45910</v>
      </c>
      <c r="B913" s="51">
        <v>0.8168287037037038</v>
      </c>
      <c r="C913" t="s">
        <v>167</v>
      </c>
      <c r="D913" t="s">
        <v>42</v>
      </c>
      <c r="E913" t="s">
        <v>188</v>
      </c>
      <c r="F913" t="s">
        <v>354</v>
      </c>
      <c r="G913">
        <v>-30855</v>
      </c>
      <c r="H913" t="s">
        <v>170</v>
      </c>
      <c r="I913" t="s">
        <v>187</v>
      </c>
    </row>
    <row r="914" spans="1:9">
      <c r="A914" s="50">
        <v>45910</v>
      </c>
      <c r="B914" s="51">
        <v>0.5573611111111111</v>
      </c>
      <c r="C914" t="s">
        <v>167</v>
      </c>
      <c r="D914" t="s">
        <v>42</v>
      </c>
      <c r="E914" t="s">
        <v>442</v>
      </c>
      <c r="F914" t="s">
        <v>521</v>
      </c>
      <c r="G914">
        <v>-116820</v>
      </c>
      <c r="H914" t="s">
        <v>170</v>
      </c>
      <c r="I914" t="s">
        <v>187</v>
      </c>
    </row>
    <row r="915" spans="1:9">
      <c r="A915" s="50">
        <v>45910</v>
      </c>
      <c r="B915" s="51">
        <v>0.5536226851851852</v>
      </c>
      <c r="C915" t="s">
        <v>167</v>
      </c>
      <c r="D915" t="s">
        <v>42</v>
      </c>
      <c r="E915" t="s">
        <v>442</v>
      </c>
      <c r="F915" t="s">
        <v>521</v>
      </c>
      <c r="G915">
        <v>129800</v>
      </c>
      <c r="H915" t="s">
        <v>170</v>
      </c>
      <c r="I915" t="s">
        <v>187</v>
      </c>
    </row>
    <row r="916" spans="1:9">
      <c r="A916" s="50">
        <v>45910</v>
      </c>
      <c r="B916" s="51">
        <v>0.5196180555555555</v>
      </c>
      <c r="C916" t="s">
        <v>167</v>
      </c>
      <c r="D916" t="s">
        <v>42</v>
      </c>
      <c r="E916" t="s">
        <v>442</v>
      </c>
      <c r="F916" t="s">
        <v>521</v>
      </c>
      <c r="G916">
        <v>-129800</v>
      </c>
      <c r="H916" t="s">
        <v>170</v>
      </c>
      <c r="I916" t="s">
        <v>187</v>
      </c>
    </row>
    <row r="917" spans="1:9">
      <c r="A917" s="50">
        <v>45908</v>
      </c>
      <c r="B917" s="51">
        <v>0.5478472222222223</v>
      </c>
      <c r="C917" t="s">
        <v>167</v>
      </c>
      <c r="D917" t="s">
        <v>46</v>
      </c>
      <c r="E917" t="s">
        <v>168</v>
      </c>
      <c r="F917" t="s">
        <v>395</v>
      </c>
      <c r="G917">
        <v>-2900</v>
      </c>
      <c r="H917" t="s">
        <v>170</v>
      </c>
      <c r="I917" t="s">
        <v>171</v>
      </c>
    </row>
    <row r="918" spans="1:9">
      <c r="A918" s="50">
        <v>45908</v>
      </c>
      <c r="B918" s="51">
        <v>0.5283680555555555</v>
      </c>
      <c r="C918" t="s">
        <v>167</v>
      </c>
      <c r="D918" t="s">
        <v>40</v>
      </c>
      <c r="E918" t="s">
        <v>356</v>
      </c>
      <c r="F918" t="s">
        <v>472</v>
      </c>
      <c r="G918">
        <v>-9000</v>
      </c>
      <c r="H918" t="s">
        <v>170</v>
      </c>
      <c r="I918" t="s">
        <v>171</v>
      </c>
    </row>
    <row r="919" spans="1:9">
      <c r="A919" s="50">
        <v>45908</v>
      </c>
      <c r="B919" s="51">
        <v>0.4085069444444445</v>
      </c>
      <c r="C919" t="s">
        <v>167</v>
      </c>
      <c r="D919" t="s">
        <v>42</v>
      </c>
      <c r="E919" t="s">
        <v>217</v>
      </c>
      <c r="F919" t="s">
        <v>471</v>
      </c>
      <c r="G919">
        <v>-39800</v>
      </c>
      <c r="H919" t="s">
        <v>170</v>
      </c>
      <c r="I919" t="s">
        <v>187</v>
      </c>
    </row>
    <row r="920" spans="1:9">
      <c r="A920" s="50">
        <v>45907</v>
      </c>
      <c r="B920" s="51">
        <v>0.9718518518518519</v>
      </c>
      <c r="C920" t="s">
        <v>172</v>
      </c>
      <c r="D920" t="s">
        <v>172</v>
      </c>
      <c r="E920" t="s">
        <v>173</v>
      </c>
      <c r="F920" t="s">
        <v>550</v>
      </c>
      <c r="G920">
        <v>-50000</v>
      </c>
      <c r="H920" t="s">
        <v>170</v>
      </c>
      <c r="I920" t="s">
        <v>61</v>
      </c>
    </row>
    <row r="921" spans="1:9">
      <c r="A921" s="50">
        <v>45907</v>
      </c>
      <c r="B921" s="51">
        <v>0.9711689814814815</v>
      </c>
      <c r="C921" t="s">
        <v>167</v>
      </c>
      <c r="D921" t="s">
        <v>42</v>
      </c>
      <c r="E921" t="s">
        <v>235</v>
      </c>
      <c r="F921" t="s">
        <v>551</v>
      </c>
      <c r="G921">
        <v>-758610</v>
      </c>
      <c r="H921" t="s">
        <v>170</v>
      </c>
      <c r="I921" t="s">
        <v>61</v>
      </c>
    </row>
    <row r="922" spans="1:9">
      <c r="A922" s="50">
        <v>45907</v>
      </c>
      <c r="B922" s="51">
        <v>0.4604050925925926</v>
      </c>
      <c r="C922" t="s">
        <v>167</v>
      </c>
      <c r="D922" t="s">
        <v>46</v>
      </c>
      <c r="E922" t="s">
        <v>168</v>
      </c>
      <c r="F922" t="s">
        <v>418</v>
      </c>
      <c r="G922">
        <v>-1800</v>
      </c>
      <c r="H922" t="s">
        <v>170</v>
      </c>
      <c r="I922" t="s">
        <v>243</v>
      </c>
    </row>
    <row r="923" spans="1:9">
      <c r="A923" s="50">
        <v>45906</v>
      </c>
      <c r="B923" s="51">
        <v>0.8356365740740741</v>
      </c>
      <c r="C923" t="s">
        <v>167</v>
      </c>
      <c r="D923" t="s">
        <v>38</v>
      </c>
      <c r="E923" t="s">
        <v>181</v>
      </c>
      <c r="F923" t="s">
        <v>192</v>
      </c>
      <c r="G923">
        <v>-2300</v>
      </c>
      <c r="H923" t="s">
        <v>170</v>
      </c>
      <c r="I923" t="s">
        <v>171</v>
      </c>
    </row>
    <row r="924" spans="1:9">
      <c r="A924" s="50">
        <v>45906</v>
      </c>
      <c r="B924" s="51">
        <v>0.7632523148148148</v>
      </c>
      <c r="C924" t="s">
        <v>167</v>
      </c>
      <c r="D924" t="s">
        <v>41</v>
      </c>
      <c r="E924" t="s">
        <v>311</v>
      </c>
      <c r="F924" t="s">
        <v>533</v>
      </c>
      <c r="G924">
        <v>-113700</v>
      </c>
      <c r="H924" t="s">
        <v>170</v>
      </c>
      <c r="I924" t="s">
        <v>237</v>
      </c>
    </row>
    <row r="925" spans="1:9">
      <c r="A925" s="50">
        <v>45906</v>
      </c>
      <c r="B925" s="51">
        <v>0.7592939814814815</v>
      </c>
      <c r="C925" t="s">
        <v>167</v>
      </c>
      <c r="D925" t="s">
        <v>41</v>
      </c>
      <c r="E925" t="s">
        <v>311</v>
      </c>
      <c r="F925" t="s">
        <v>533</v>
      </c>
      <c r="G925">
        <v>-395100</v>
      </c>
      <c r="H925" t="s">
        <v>170</v>
      </c>
      <c r="I925" t="s">
        <v>237</v>
      </c>
    </row>
    <row r="926" spans="1:9">
      <c r="A926" s="50">
        <v>45906</v>
      </c>
      <c r="B926" s="51">
        <v>0.4467361111111111</v>
      </c>
      <c r="C926" t="s">
        <v>167</v>
      </c>
      <c r="D926" t="s">
        <v>46</v>
      </c>
      <c r="E926" t="s">
        <v>168</v>
      </c>
      <c r="F926" t="s">
        <v>305</v>
      </c>
      <c r="G926">
        <v>-3000</v>
      </c>
      <c r="H926" t="s">
        <v>170</v>
      </c>
      <c r="I926" t="s">
        <v>171</v>
      </c>
    </row>
    <row r="927" spans="1:9">
      <c r="A927" s="50">
        <v>45906</v>
      </c>
      <c r="B927" s="51">
        <v>0.4358796296296296</v>
      </c>
      <c r="C927" t="s">
        <v>167</v>
      </c>
      <c r="D927" t="s">
        <v>42</v>
      </c>
      <c r="E927" t="s">
        <v>235</v>
      </c>
      <c r="F927" t="s">
        <v>242</v>
      </c>
      <c r="G927">
        <v>-12480</v>
      </c>
      <c r="H927" t="s">
        <v>170</v>
      </c>
      <c r="I927" t="s">
        <v>243</v>
      </c>
    </row>
    <row r="928" spans="1:9">
      <c r="A928" s="50">
        <v>45906</v>
      </c>
      <c r="B928" s="51">
        <v>0.3882407407407407</v>
      </c>
      <c r="C928" t="s">
        <v>167</v>
      </c>
      <c r="D928" t="s">
        <v>34</v>
      </c>
      <c r="E928" t="s">
        <v>206</v>
      </c>
      <c r="F928" t="s">
        <v>552</v>
      </c>
      <c r="G928">
        <v>-120000</v>
      </c>
      <c r="H928" t="s">
        <v>170</v>
      </c>
      <c r="I928" t="s">
        <v>237</v>
      </c>
    </row>
    <row r="929" spans="1:9">
      <c r="A929" s="50">
        <v>45906</v>
      </c>
      <c r="B929" s="51">
        <v>0.3006134259259259</v>
      </c>
      <c r="C929" t="s">
        <v>167</v>
      </c>
      <c r="D929" t="s">
        <v>42</v>
      </c>
      <c r="E929" t="s">
        <v>235</v>
      </c>
      <c r="F929" t="s">
        <v>353</v>
      </c>
      <c r="G929">
        <v>-48000</v>
      </c>
      <c r="H929" t="s">
        <v>170</v>
      </c>
      <c r="I929" t="s">
        <v>187</v>
      </c>
    </row>
    <row r="930" spans="1:9">
      <c r="A930" s="50">
        <v>45905</v>
      </c>
      <c r="B930" s="51">
        <v>0.8839699074074074</v>
      </c>
      <c r="C930" t="s">
        <v>167</v>
      </c>
      <c r="D930" t="s">
        <v>43</v>
      </c>
      <c r="E930" t="s">
        <v>179</v>
      </c>
      <c r="F930" t="s">
        <v>467</v>
      </c>
      <c r="G930">
        <v>-429000</v>
      </c>
      <c r="H930" t="s">
        <v>170</v>
      </c>
      <c r="I930" t="s">
        <v>171</v>
      </c>
    </row>
    <row r="931" spans="1:9">
      <c r="A931" s="50">
        <v>45905</v>
      </c>
      <c r="B931" s="51">
        <v>0.8674884259259259</v>
      </c>
      <c r="C931" t="s">
        <v>167</v>
      </c>
      <c r="D931" t="s">
        <v>42</v>
      </c>
      <c r="E931" t="s">
        <v>188</v>
      </c>
      <c r="F931" t="s">
        <v>231</v>
      </c>
      <c r="G931">
        <v>-14900</v>
      </c>
      <c r="H931" t="s">
        <v>170</v>
      </c>
      <c r="I931" t="s">
        <v>187</v>
      </c>
    </row>
    <row r="932" spans="1:9">
      <c r="A932" s="50">
        <v>45905</v>
      </c>
      <c r="B932" s="51">
        <v>0.4479282407407407</v>
      </c>
      <c r="C932" t="s">
        <v>167</v>
      </c>
      <c r="D932" t="s">
        <v>42</v>
      </c>
      <c r="E932" t="s">
        <v>188</v>
      </c>
      <c r="F932" t="s">
        <v>487</v>
      </c>
      <c r="G932">
        <v>-7890</v>
      </c>
      <c r="H932" t="s">
        <v>170</v>
      </c>
      <c r="I932" t="s">
        <v>243</v>
      </c>
    </row>
    <row r="933" spans="1:9">
      <c r="A933" s="50">
        <v>45904</v>
      </c>
      <c r="B933" s="51">
        <v>0.5270833333333333</v>
      </c>
      <c r="C933" t="s">
        <v>167</v>
      </c>
      <c r="D933" t="s">
        <v>40</v>
      </c>
      <c r="E933" t="s">
        <v>356</v>
      </c>
      <c r="F933" t="s">
        <v>472</v>
      </c>
      <c r="G933">
        <v>-9000</v>
      </c>
      <c r="H933" t="s">
        <v>170</v>
      </c>
      <c r="I933" t="s">
        <v>171</v>
      </c>
    </row>
    <row r="934" spans="1:9">
      <c r="A934" s="50">
        <v>45904</v>
      </c>
      <c r="B934" s="51">
        <v>0.2315046296296296</v>
      </c>
      <c r="C934" t="s">
        <v>167</v>
      </c>
      <c r="D934" t="s">
        <v>42</v>
      </c>
      <c r="E934" t="s">
        <v>338</v>
      </c>
      <c r="F934" t="s">
        <v>339</v>
      </c>
      <c r="G934">
        <v>-12500</v>
      </c>
      <c r="H934" t="s">
        <v>170</v>
      </c>
      <c r="I934" t="s">
        <v>187</v>
      </c>
    </row>
    <row r="935" spans="1:9">
      <c r="A935" s="50">
        <v>45904</v>
      </c>
      <c r="B935" s="51">
        <v>0.09694444444444444</v>
      </c>
      <c r="C935" t="s">
        <v>167</v>
      </c>
      <c r="D935" t="s">
        <v>42</v>
      </c>
      <c r="E935" t="s">
        <v>188</v>
      </c>
      <c r="F935" t="s">
        <v>252</v>
      </c>
      <c r="G935">
        <v>-13500</v>
      </c>
      <c r="H935" t="s">
        <v>170</v>
      </c>
      <c r="I935" t="s">
        <v>253</v>
      </c>
    </row>
    <row r="936" spans="1:9">
      <c r="A936" s="50">
        <v>45903</v>
      </c>
      <c r="B936" s="51">
        <v>0.9801967592592593</v>
      </c>
      <c r="C936" t="s">
        <v>167</v>
      </c>
      <c r="D936" t="s">
        <v>38</v>
      </c>
      <c r="E936" t="s">
        <v>181</v>
      </c>
      <c r="F936" t="s">
        <v>553</v>
      </c>
      <c r="G936">
        <v>-9600</v>
      </c>
      <c r="H936" t="s">
        <v>170</v>
      </c>
      <c r="I936" t="s">
        <v>171</v>
      </c>
    </row>
    <row r="937" spans="1:9">
      <c r="A937" s="50">
        <v>45903</v>
      </c>
      <c r="B937" s="51">
        <v>0.8066898148148148</v>
      </c>
      <c r="C937" t="s">
        <v>167</v>
      </c>
      <c r="D937" t="s">
        <v>33</v>
      </c>
      <c r="E937" t="s">
        <v>257</v>
      </c>
      <c r="F937" t="s">
        <v>554</v>
      </c>
      <c r="G937">
        <v>-14100</v>
      </c>
      <c r="H937" t="s">
        <v>170</v>
      </c>
      <c r="I937" t="s">
        <v>253</v>
      </c>
    </row>
    <row r="938" spans="1:9">
      <c r="A938" s="50">
        <v>45903</v>
      </c>
      <c r="B938" s="51">
        <v>0.7900925925925926</v>
      </c>
      <c r="C938" t="s">
        <v>167</v>
      </c>
      <c r="D938" t="s">
        <v>33</v>
      </c>
      <c r="E938" t="s">
        <v>257</v>
      </c>
      <c r="F938" t="s">
        <v>554</v>
      </c>
      <c r="G938">
        <v>14100</v>
      </c>
      <c r="H938" t="s">
        <v>170</v>
      </c>
      <c r="I938" t="s">
        <v>253</v>
      </c>
    </row>
    <row r="939" spans="1:9">
      <c r="A939" s="50">
        <v>45903</v>
      </c>
      <c r="B939" s="51">
        <v>0.7900810185185185</v>
      </c>
      <c r="C939" t="s">
        <v>167</v>
      </c>
      <c r="D939" t="s">
        <v>33</v>
      </c>
      <c r="E939" t="s">
        <v>257</v>
      </c>
      <c r="F939" t="s">
        <v>554</v>
      </c>
      <c r="G939">
        <v>-14100</v>
      </c>
      <c r="H939" t="s">
        <v>170</v>
      </c>
      <c r="I939" t="s">
        <v>253</v>
      </c>
    </row>
    <row r="940" spans="1:9">
      <c r="A940" s="50">
        <v>45903</v>
      </c>
      <c r="B940" s="51">
        <v>0.7206944444444444</v>
      </c>
      <c r="C940" t="s">
        <v>167</v>
      </c>
      <c r="D940" t="s">
        <v>33</v>
      </c>
      <c r="E940" t="s">
        <v>257</v>
      </c>
      <c r="F940" t="s">
        <v>555</v>
      </c>
      <c r="G940">
        <v>-13000</v>
      </c>
      <c r="H940" t="s">
        <v>170</v>
      </c>
      <c r="I940" t="s">
        <v>171</v>
      </c>
    </row>
    <row r="941" spans="1:9">
      <c r="A941" s="50">
        <v>45903</v>
      </c>
      <c r="B941" s="51">
        <v>0.7060879629629629</v>
      </c>
      <c r="C941" t="s">
        <v>167</v>
      </c>
      <c r="D941" t="s">
        <v>33</v>
      </c>
      <c r="E941" t="s">
        <v>385</v>
      </c>
      <c r="F941" t="s">
        <v>484</v>
      </c>
      <c r="G941">
        <v>-1500</v>
      </c>
      <c r="H941" t="s">
        <v>170</v>
      </c>
      <c r="I941" t="s">
        <v>171</v>
      </c>
    </row>
    <row r="942" spans="1:9">
      <c r="A942" s="50">
        <v>45903</v>
      </c>
      <c r="B942" s="51">
        <v>0.7029976851851852</v>
      </c>
      <c r="C942" t="s">
        <v>167</v>
      </c>
      <c r="D942" t="s">
        <v>33</v>
      </c>
      <c r="E942" t="s">
        <v>385</v>
      </c>
      <c r="F942" t="s">
        <v>484</v>
      </c>
      <c r="G942">
        <v>-1500</v>
      </c>
      <c r="H942" t="s">
        <v>170</v>
      </c>
      <c r="I942" t="s">
        <v>171</v>
      </c>
    </row>
    <row r="943" spans="1:9">
      <c r="A943" s="50">
        <v>45903</v>
      </c>
      <c r="B943" s="51">
        <v>0.7020717592592592</v>
      </c>
      <c r="C943" t="s">
        <v>167</v>
      </c>
      <c r="D943" t="s">
        <v>38</v>
      </c>
      <c r="E943" t="s">
        <v>181</v>
      </c>
      <c r="F943" t="s">
        <v>428</v>
      </c>
      <c r="G943">
        <v>-33200</v>
      </c>
      <c r="H943" t="s">
        <v>170</v>
      </c>
      <c r="I943" t="s">
        <v>171</v>
      </c>
    </row>
    <row r="944" spans="1:9">
      <c r="A944" s="50">
        <v>45903</v>
      </c>
      <c r="B944" s="51">
        <v>0.5516666666666666</v>
      </c>
      <c r="C944" t="s">
        <v>167</v>
      </c>
      <c r="D944" t="s">
        <v>45</v>
      </c>
      <c r="E944" t="s">
        <v>185</v>
      </c>
      <c r="F944" t="s">
        <v>556</v>
      </c>
      <c r="G944">
        <v>-100000</v>
      </c>
      <c r="H944" t="s">
        <v>170</v>
      </c>
      <c r="I944" t="s">
        <v>61</v>
      </c>
    </row>
    <row r="945" spans="1:9">
      <c r="A945" s="50">
        <v>45903</v>
      </c>
      <c r="B945" s="51">
        <v>0.5421412037037037</v>
      </c>
      <c r="C945" t="s">
        <v>167</v>
      </c>
      <c r="D945" t="s">
        <v>40</v>
      </c>
      <c r="E945" t="s">
        <v>244</v>
      </c>
      <c r="F945" t="s">
        <v>466</v>
      </c>
      <c r="G945">
        <v>-11800</v>
      </c>
      <c r="H945" t="s">
        <v>170</v>
      </c>
      <c r="I945" t="s">
        <v>171</v>
      </c>
    </row>
    <row r="946" spans="1:9">
      <c r="A946" s="50">
        <v>45903</v>
      </c>
      <c r="B946" s="51">
        <v>0.05018518518518519</v>
      </c>
      <c r="C946" t="s">
        <v>167</v>
      </c>
      <c r="D946" t="s">
        <v>42</v>
      </c>
      <c r="E946" t="s">
        <v>188</v>
      </c>
      <c r="F946" t="s">
        <v>256</v>
      </c>
      <c r="G946">
        <v>-2990</v>
      </c>
      <c r="H946" t="s">
        <v>170</v>
      </c>
      <c r="I946" t="s">
        <v>237</v>
      </c>
    </row>
    <row r="947" spans="1:9">
      <c r="A947" s="50">
        <v>45902</v>
      </c>
      <c r="B947" s="51">
        <v>0.7784722222222222</v>
      </c>
      <c r="C947" t="s">
        <v>167</v>
      </c>
      <c r="D947" t="s">
        <v>33</v>
      </c>
      <c r="E947" t="s">
        <v>385</v>
      </c>
      <c r="F947" t="s">
        <v>386</v>
      </c>
      <c r="G947">
        <v>-52100</v>
      </c>
      <c r="H947" t="s">
        <v>170</v>
      </c>
      <c r="I947" t="s">
        <v>237</v>
      </c>
    </row>
    <row r="948" spans="1:9">
      <c r="A948" s="50">
        <v>45902</v>
      </c>
      <c r="B948" s="51">
        <v>0.7752893518518519</v>
      </c>
      <c r="C948" t="s">
        <v>167</v>
      </c>
      <c r="D948" t="s">
        <v>33</v>
      </c>
      <c r="E948" t="s">
        <v>385</v>
      </c>
      <c r="F948" t="s">
        <v>386</v>
      </c>
      <c r="G948">
        <v>-51700</v>
      </c>
      <c r="H948" t="s">
        <v>170</v>
      </c>
      <c r="I948" t="s">
        <v>237</v>
      </c>
    </row>
    <row r="949" spans="1:9">
      <c r="A949" s="50">
        <v>45902</v>
      </c>
      <c r="B949" s="51">
        <v>0.5521296296296296</v>
      </c>
      <c r="C949" t="s">
        <v>167</v>
      </c>
      <c r="D949" t="s">
        <v>35</v>
      </c>
      <c r="E949" t="s">
        <v>225</v>
      </c>
      <c r="F949" t="s">
        <v>226</v>
      </c>
      <c r="G949">
        <v>-2900</v>
      </c>
      <c r="H949" t="s">
        <v>170</v>
      </c>
      <c r="I949" t="s">
        <v>171</v>
      </c>
    </row>
    <row r="950" spans="1:9">
      <c r="A950" s="50">
        <v>45902</v>
      </c>
      <c r="B950" s="51">
        <v>0.5273032407407408</v>
      </c>
      <c r="C950" t="s">
        <v>172</v>
      </c>
      <c r="D950" t="s">
        <v>195</v>
      </c>
      <c r="E950" t="s">
        <v>173</v>
      </c>
      <c r="F950" t="s">
        <v>196</v>
      </c>
      <c r="G950">
        <v>-1000000</v>
      </c>
      <c r="H950" t="s">
        <v>170</v>
      </c>
      <c r="I950" t="s">
        <v>61</v>
      </c>
    </row>
    <row r="951" spans="1:9">
      <c r="A951" s="50">
        <v>45902</v>
      </c>
      <c r="B951" s="51">
        <v>0.5244791666666667</v>
      </c>
      <c r="C951" t="s">
        <v>167</v>
      </c>
      <c r="D951" t="s">
        <v>40</v>
      </c>
      <c r="E951" t="s">
        <v>193</v>
      </c>
      <c r="F951" t="s">
        <v>194</v>
      </c>
      <c r="G951">
        <v>-7500</v>
      </c>
      <c r="H951" t="s">
        <v>170</v>
      </c>
      <c r="I951" t="s">
        <v>171</v>
      </c>
    </row>
    <row r="952" spans="1:9">
      <c r="A952" s="50">
        <v>45901</v>
      </c>
      <c r="B952" s="51">
        <v>0.9683912037037037</v>
      </c>
      <c r="C952" t="s">
        <v>167</v>
      </c>
      <c r="D952" t="s">
        <v>46</v>
      </c>
      <c r="E952" t="s">
        <v>168</v>
      </c>
      <c r="F952" t="s">
        <v>279</v>
      </c>
      <c r="G952">
        <v>-55000</v>
      </c>
      <c r="H952" t="s">
        <v>170</v>
      </c>
      <c r="I952" t="s">
        <v>237</v>
      </c>
    </row>
    <row r="953" spans="1:9">
      <c r="A953" s="50">
        <v>45901</v>
      </c>
      <c r="B953" s="51">
        <v>0.8686805555555556</v>
      </c>
      <c r="C953" t="s">
        <v>172</v>
      </c>
      <c r="D953" t="s">
        <v>172</v>
      </c>
      <c r="E953" t="s">
        <v>173</v>
      </c>
      <c r="F953" t="s">
        <v>265</v>
      </c>
      <c r="G953">
        <v>-22340</v>
      </c>
      <c r="H953" t="s">
        <v>170</v>
      </c>
      <c r="I953" t="s">
        <v>61</v>
      </c>
    </row>
    <row r="954" spans="1:9">
      <c r="A954" s="50">
        <v>45901</v>
      </c>
      <c r="B954" s="51">
        <v>0.5275</v>
      </c>
      <c r="C954" t="s">
        <v>167</v>
      </c>
      <c r="D954" t="s">
        <v>40</v>
      </c>
      <c r="E954" t="s">
        <v>244</v>
      </c>
      <c r="F954" t="s">
        <v>314</v>
      </c>
      <c r="G954">
        <v>-14900</v>
      </c>
      <c r="H954" t="s">
        <v>170</v>
      </c>
      <c r="I954" t="s">
        <v>171</v>
      </c>
    </row>
    <row r="955" spans="1:9">
      <c r="A955" s="50">
        <v>45901</v>
      </c>
      <c r="B955" s="51">
        <v>0.3315972222222222</v>
      </c>
      <c r="C955" t="s">
        <v>172</v>
      </c>
      <c r="D955" t="s">
        <v>172</v>
      </c>
      <c r="E955" t="s">
        <v>173</v>
      </c>
      <c r="F955" t="s">
        <v>265</v>
      </c>
      <c r="G955">
        <v>-20000</v>
      </c>
      <c r="H955" t="s">
        <v>170</v>
      </c>
      <c r="I955" t="s">
        <v>61</v>
      </c>
    </row>
    <row r="956" spans="1:9">
      <c r="A956" s="50">
        <v>45901</v>
      </c>
      <c r="B956" s="51">
        <v>0</v>
      </c>
      <c r="C956" t="s">
        <v>167</v>
      </c>
      <c r="D956" t="s">
        <v>33</v>
      </c>
      <c r="E956" t="s">
        <v>385</v>
      </c>
      <c r="F956" t="s">
        <v>386</v>
      </c>
      <c r="G956">
        <v>43500</v>
      </c>
      <c r="H956" t="s">
        <v>170</v>
      </c>
      <c r="I956" t="s">
        <v>237</v>
      </c>
    </row>
    <row r="957" spans="1:9">
      <c r="A957" s="50">
        <v>45900</v>
      </c>
      <c r="B957" s="51">
        <v>0.7326851851851852</v>
      </c>
      <c r="C957" t="s">
        <v>167</v>
      </c>
      <c r="D957" t="s">
        <v>46</v>
      </c>
      <c r="E957" t="s">
        <v>405</v>
      </c>
      <c r="F957" t="s">
        <v>406</v>
      </c>
      <c r="G957">
        <v>-1500</v>
      </c>
      <c r="H957" t="s">
        <v>170</v>
      </c>
      <c r="I957" t="s">
        <v>171</v>
      </c>
    </row>
    <row r="958" spans="1:9">
      <c r="A958" s="50">
        <v>45900</v>
      </c>
      <c r="B958" s="51">
        <v>0.7292708333333333</v>
      </c>
      <c r="C958" t="s">
        <v>167</v>
      </c>
      <c r="D958" t="s">
        <v>37</v>
      </c>
      <c r="E958" t="s">
        <v>350</v>
      </c>
      <c r="F958" t="s">
        <v>351</v>
      </c>
      <c r="G958">
        <v>-23000</v>
      </c>
      <c r="H958" t="s">
        <v>170</v>
      </c>
      <c r="I958" t="s">
        <v>171</v>
      </c>
    </row>
    <row r="959" spans="1:9">
      <c r="A959" s="50">
        <v>45900</v>
      </c>
      <c r="B959" s="51">
        <v>0.4584953703703704</v>
      </c>
      <c r="C959" t="s">
        <v>167</v>
      </c>
      <c r="D959" t="s">
        <v>42</v>
      </c>
      <c r="E959" t="s">
        <v>442</v>
      </c>
      <c r="F959" t="s">
        <v>521</v>
      </c>
      <c r="G959">
        <v>-27700</v>
      </c>
      <c r="H959" t="s">
        <v>170</v>
      </c>
      <c r="I959" t="s">
        <v>187</v>
      </c>
    </row>
    <row r="960" spans="1:9">
      <c r="A960" s="50">
        <v>45900</v>
      </c>
      <c r="B960" s="51">
        <v>0.4319212962962963</v>
      </c>
      <c r="C960" t="s">
        <v>167</v>
      </c>
      <c r="D960" t="s">
        <v>40</v>
      </c>
      <c r="E960" t="s">
        <v>176</v>
      </c>
      <c r="F960" t="s">
        <v>494</v>
      </c>
      <c r="G960">
        <v>-13300</v>
      </c>
      <c r="H960" t="s">
        <v>170</v>
      </c>
      <c r="I960" t="s">
        <v>171</v>
      </c>
    </row>
    <row r="961" spans="1:9">
      <c r="A961" s="50">
        <v>45900</v>
      </c>
      <c r="B961" s="51">
        <v>0.3176967592592593</v>
      </c>
      <c r="C961" t="s">
        <v>167</v>
      </c>
      <c r="D961" t="s">
        <v>33</v>
      </c>
      <c r="E961" t="s">
        <v>282</v>
      </c>
      <c r="F961" t="s">
        <v>287</v>
      </c>
      <c r="G961">
        <v>-28500</v>
      </c>
      <c r="H961" t="s">
        <v>170</v>
      </c>
      <c r="I961" t="s">
        <v>243</v>
      </c>
    </row>
    <row r="962" spans="1:9">
      <c r="A962" s="50">
        <v>45900</v>
      </c>
      <c r="B962" s="51">
        <v>0.2789467592592593</v>
      </c>
      <c r="C962" t="s">
        <v>167</v>
      </c>
      <c r="D962" t="s">
        <v>33</v>
      </c>
      <c r="E962" t="s">
        <v>282</v>
      </c>
      <c r="F962" t="s">
        <v>287</v>
      </c>
      <c r="G962">
        <v>-35500</v>
      </c>
      <c r="H962" t="s">
        <v>170</v>
      </c>
      <c r="I962" t="s">
        <v>243</v>
      </c>
    </row>
    <row r="963" spans="1:9">
      <c r="A963" s="50">
        <v>45900</v>
      </c>
      <c r="B963" s="51">
        <v>0</v>
      </c>
      <c r="C963" t="s">
        <v>167</v>
      </c>
      <c r="D963" t="s">
        <v>34</v>
      </c>
      <c r="E963" t="s">
        <v>206</v>
      </c>
      <c r="F963" t="s">
        <v>557</v>
      </c>
      <c r="G963">
        <v>-200</v>
      </c>
      <c r="H963" t="s">
        <v>170</v>
      </c>
      <c r="I963" t="s">
        <v>187</v>
      </c>
    </row>
    <row r="964" spans="1:9">
      <c r="A964" s="50">
        <v>45899</v>
      </c>
      <c r="B964" s="51">
        <v>0.8794907407407407</v>
      </c>
      <c r="C964" t="s">
        <v>167</v>
      </c>
      <c r="D964" t="s">
        <v>38</v>
      </c>
      <c r="E964" t="s">
        <v>181</v>
      </c>
      <c r="F964" t="s">
        <v>558</v>
      </c>
      <c r="G964">
        <v>-5400</v>
      </c>
      <c r="H964" t="s">
        <v>170</v>
      </c>
      <c r="I964" t="s">
        <v>171</v>
      </c>
    </row>
    <row r="965" spans="1:9">
      <c r="A965" s="50">
        <v>45899</v>
      </c>
      <c r="B965" s="51">
        <v>0.8344097222222222</v>
      </c>
      <c r="C965" t="s">
        <v>167</v>
      </c>
      <c r="D965" t="s">
        <v>40</v>
      </c>
      <c r="E965" t="s">
        <v>383</v>
      </c>
      <c r="F965" t="s">
        <v>495</v>
      </c>
      <c r="G965">
        <v>-39500</v>
      </c>
      <c r="H965" t="s">
        <v>170</v>
      </c>
      <c r="I965" t="s">
        <v>171</v>
      </c>
    </row>
    <row r="966" spans="1:9">
      <c r="A966" s="50">
        <v>45899</v>
      </c>
      <c r="B966" s="51">
        <v>0.7667361111111111</v>
      </c>
      <c r="C966" t="s">
        <v>167</v>
      </c>
      <c r="D966" t="s">
        <v>47</v>
      </c>
      <c r="E966" t="s">
        <v>183</v>
      </c>
      <c r="F966" t="s">
        <v>559</v>
      </c>
      <c r="G966">
        <v>-21400</v>
      </c>
      <c r="H966" t="s">
        <v>170</v>
      </c>
      <c r="I966" t="s">
        <v>171</v>
      </c>
    </row>
    <row r="967" spans="1:9">
      <c r="A967" s="50">
        <v>45899</v>
      </c>
      <c r="B967" s="51">
        <v>0.7650347222222222</v>
      </c>
      <c r="C967" t="s">
        <v>167</v>
      </c>
      <c r="D967" t="s">
        <v>47</v>
      </c>
      <c r="E967" t="s">
        <v>183</v>
      </c>
      <c r="F967" t="s">
        <v>559</v>
      </c>
      <c r="G967">
        <v>-26800</v>
      </c>
      <c r="H967" t="s">
        <v>170</v>
      </c>
      <c r="I967" t="s">
        <v>171</v>
      </c>
    </row>
    <row r="968" spans="1:9">
      <c r="A968" s="50">
        <v>45899</v>
      </c>
      <c r="B968" s="51">
        <v>0.7437384259259259</v>
      </c>
      <c r="C968" t="s">
        <v>167</v>
      </c>
      <c r="D968" t="s">
        <v>47</v>
      </c>
      <c r="E968" t="s">
        <v>183</v>
      </c>
      <c r="F968" t="s">
        <v>559</v>
      </c>
      <c r="G968">
        <v>-19500</v>
      </c>
      <c r="H968" t="s">
        <v>170</v>
      </c>
      <c r="I968" t="s">
        <v>171</v>
      </c>
    </row>
    <row r="969" spans="1:9">
      <c r="A969" s="50">
        <v>45899</v>
      </c>
      <c r="B969" s="51">
        <v>0.7236805555555555</v>
      </c>
      <c r="C969" t="s">
        <v>167</v>
      </c>
      <c r="D969" t="s">
        <v>42</v>
      </c>
      <c r="E969" t="s">
        <v>338</v>
      </c>
      <c r="F969" t="s">
        <v>339</v>
      </c>
      <c r="G969">
        <v>-33000</v>
      </c>
      <c r="H969" t="s">
        <v>170</v>
      </c>
      <c r="I969" t="s">
        <v>187</v>
      </c>
    </row>
    <row r="970" spans="1:9">
      <c r="A970" s="50">
        <v>45899</v>
      </c>
      <c r="B970" s="51">
        <v>0.6571759259259259</v>
      </c>
      <c r="C970" t="s">
        <v>167</v>
      </c>
      <c r="D970" t="s">
        <v>33</v>
      </c>
      <c r="E970" t="s">
        <v>385</v>
      </c>
      <c r="F970" t="s">
        <v>386</v>
      </c>
      <c r="G970">
        <v>-53500</v>
      </c>
      <c r="H970" t="s">
        <v>170</v>
      </c>
      <c r="I970" t="s">
        <v>237</v>
      </c>
    </row>
    <row r="971" spans="1:9">
      <c r="A971" s="50">
        <v>45899</v>
      </c>
      <c r="B971" s="51">
        <v>0.6516666666666666</v>
      </c>
      <c r="C971" t="s">
        <v>167</v>
      </c>
      <c r="D971" t="s">
        <v>41</v>
      </c>
      <c r="E971" t="s">
        <v>210</v>
      </c>
      <c r="F971" t="s">
        <v>537</v>
      </c>
      <c r="G971">
        <v>-55400</v>
      </c>
      <c r="H971" t="s">
        <v>170</v>
      </c>
      <c r="I971" t="s">
        <v>253</v>
      </c>
    </row>
    <row r="972" spans="1:9">
      <c r="A972" s="50">
        <v>45899</v>
      </c>
      <c r="B972" s="51">
        <v>0.6304861111111111</v>
      </c>
      <c r="C972" t="s">
        <v>167</v>
      </c>
      <c r="D972" t="s">
        <v>46</v>
      </c>
      <c r="E972" t="s">
        <v>219</v>
      </c>
      <c r="F972" t="s">
        <v>560</v>
      </c>
      <c r="G972">
        <v>-10100</v>
      </c>
      <c r="H972" t="s">
        <v>170</v>
      </c>
      <c r="I972" t="s">
        <v>171</v>
      </c>
    </row>
    <row r="973" spans="1:9">
      <c r="A973" s="50">
        <v>45899</v>
      </c>
      <c r="B973" s="51">
        <v>0.6054398148148148</v>
      </c>
      <c r="C973" t="s">
        <v>167</v>
      </c>
      <c r="D973" t="s">
        <v>40</v>
      </c>
      <c r="E973" t="s">
        <v>193</v>
      </c>
      <c r="F973" t="s">
        <v>561</v>
      </c>
      <c r="G973">
        <v>-17000</v>
      </c>
      <c r="H973" t="s">
        <v>170</v>
      </c>
      <c r="I973" t="s">
        <v>171</v>
      </c>
    </row>
    <row r="974" spans="1:9">
      <c r="A974" s="50">
        <v>45899</v>
      </c>
      <c r="B974" s="51">
        <v>0.6029166666666667</v>
      </c>
      <c r="C974" t="s">
        <v>167</v>
      </c>
      <c r="D974" t="s">
        <v>35</v>
      </c>
      <c r="E974" t="s">
        <v>562</v>
      </c>
      <c r="F974" t="s">
        <v>563</v>
      </c>
      <c r="G974">
        <v>-3000</v>
      </c>
      <c r="H974" t="s">
        <v>170</v>
      </c>
      <c r="I974" t="s">
        <v>171</v>
      </c>
    </row>
    <row r="975" spans="1:9">
      <c r="A975" s="50">
        <v>45899</v>
      </c>
      <c r="B975" s="51">
        <v>0.579849537037037</v>
      </c>
      <c r="C975" t="s">
        <v>167</v>
      </c>
      <c r="D975" t="s">
        <v>40</v>
      </c>
      <c r="E975" t="s">
        <v>329</v>
      </c>
      <c r="F975" t="s">
        <v>564</v>
      </c>
      <c r="G975">
        <v>-37000</v>
      </c>
      <c r="H975" t="s">
        <v>170</v>
      </c>
      <c r="I975" t="s">
        <v>171</v>
      </c>
    </row>
    <row r="976" spans="1:9">
      <c r="A976" s="50">
        <v>45899</v>
      </c>
      <c r="B976" s="51">
        <v>0.3785185185185185</v>
      </c>
      <c r="C976" t="s">
        <v>167</v>
      </c>
      <c r="D976" t="s">
        <v>38</v>
      </c>
      <c r="E976" t="s">
        <v>181</v>
      </c>
      <c r="F976" t="s">
        <v>465</v>
      </c>
      <c r="G976">
        <v>-11400</v>
      </c>
      <c r="H976" t="s">
        <v>170</v>
      </c>
      <c r="I976" t="s">
        <v>171</v>
      </c>
    </row>
    <row r="977" spans="1:9">
      <c r="A977" s="50">
        <v>45898</v>
      </c>
      <c r="B977" s="51">
        <v>0.5504976851851852</v>
      </c>
      <c r="C977" t="s">
        <v>172</v>
      </c>
      <c r="D977" t="s">
        <v>172</v>
      </c>
      <c r="E977" t="s">
        <v>173</v>
      </c>
      <c r="F977" t="s">
        <v>265</v>
      </c>
      <c r="G977">
        <v>-45000</v>
      </c>
      <c r="H977" t="s">
        <v>170</v>
      </c>
      <c r="I977" t="s">
        <v>61</v>
      </c>
    </row>
    <row r="978" spans="1:9">
      <c r="A978" s="50">
        <v>45898</v>
      </c>
      <c r="B978" s="51">
        <v>0</v>
      </c>
      <c r="C978" t="s">
        <v>167</v>
      </c>
      <c r="D978" t="s">
        <v>33</v>
      </c>
      <c r="E978" t="s">
        <v>385</v>
      </c>
      <c r="F978" t="s">
        <v>386</v>
      </c>
      <c r="G978">
        <v>43100</v>
      </c>
      <c r="H978" t="s">
        <v>170</v>
      </c>
      <c r="I978" t="s">
        <v>237</v>
      </c>
    </row>
    <row r="979" spans="1:9">
      <c r="A979" s="50">
        <v>45897</v>
      </c>
      <c r="B979" s="51">
        <v>0.6093402777777778</v>
      </c>
      <c r="C979" t="s">
        <v>172</v>
      </c>
      <c r="D979" t="s">
        <v>190</v>
      </c>
      <c r="E979" t="s">
        <v>173</v>
      </c>
      <c r="F979" t="s">
        <v>565</v>
      </c>
      <c r="G979">
        <v>671680</v>
      </c>
      <c r="H979" t="s">
        <v>170</v>
      </c>
      <c r="I979" t="s">
        <v>59</v>
      </c>
    </row>
    <row r="980" spans="1:9">
      <c r="A980" s="50">
        <v>45897</v>
      </c>
      <c r="B980" s="51">
        <v>0.3262152777777778</v>
      </c>
      <c r="C980" t="s">
        <v>167</v>
      </c>
      <c r="D980" t="s">
        <v>42</v>
      </c>
      <c r="E980" t="s">
        <v>235</v>
      </c>
      <c r="F980" t="s">
        <v>242</v>
      </c>
      <c r="G980">
        <v>-21840</v>
      </c>
      <c r="H980" t="s">
        <v>170</v>
      </c>
      <c r="I980" t="s">
        <v>243</v>
      </c>
    </row>
    <row r="981" spans="1:9">
      <c r="A981" s="50">
        <v>45896</v>
      </c>
      <c r="B981" s="51">
        <v>0.3777662037037037</v>
      </c>
      <c r="C981" t="s">
        <v>167</v>
      </c>
      <c r="D981" t="s">
        <v>46</v>
      </c>
      <c r="E981" t="s">
        <v>168</v>
      </c>
      <c r="F981" t="s">
        <v>566</v>
      </c>
      <c r="G981">
        <v>-5500</v>
      </c>
      <c r="H981" t="s">
        <v>170</v>
      </c>
      <c r="I981" t="s">
        <v>171</v>
      </c>
    </row>
    <row r="982" spans="1:9">
      <c r="A982" s="50">
        <v>45895</v>
      </c>
      <c r="B982" s="51">
        <v>0.9005902777777778</v>
      </c>
      <c r="C982" t="s">
        <v>167</v>
      </c>
      <c r="D982" t="s">
        <v>33</v>
      </c>
      <c r="E982" t="s">
        <v>385</v>
      </c>
      <c r="F982" t="s">
        <v>386</v>
      </c>
      <c r="G982">
        <v>-43500</v>
      </c>
      <c r="H982" t="s">
        <v>170</v>
      </c>
      <c r="I982" t="s">
        <v>237</v>
      </c>
    </row>
    <row r="983" spans="1:9">
      <c r="A983" s="50">
        <v>45895</v>
      </c>
      <c r="B983" s="51">
        <v>0.8997569444444444</v>
      </c>
      <c r="C983" t="s">
        <v>167</v>
      </c>
      <c r="D983" t="s">
        <v>33</v>
      </c>
      <c r="E983" t="s">
        <v>385</v>
      </c>
      <c r="F983" t="s">
        <v>386</v>
      </c>
      <c r="G983">
        <v>-43100</v>
      </c>
      <c r="H983" t="s">
        <v>170</v>
      </c>
      <c r="I983" t="s">
        <v>237</v>
      </c>
    </row>
    <row r="984" spans="1:9">
      <c r="A984" s="50">
        <v>45895</v>
      </c>
      <c r="B984" s="51">
        <v>0</v>
      </c>
      <c r="C984" t="s">
        <v>167</v>
      </c>
      <c r="D984" t="s">
        <v>33</v>
      </c>
      <c r="E984" t="s">
        <v>385</v>
      </c>
      <c r="F984" t="s">
        <v>386</v>
      </c>
      <c r="G984">
        <v>43500</v>
      </c>
      <c r="H984" t="s">
        <v>170</v>
      </c>
      <c r="I984" t="s">
        <v>237</v>
      </c>
    </row>
    <row r="985" spans="1:9">
      <c r="A985" s="50">
        <v>45895</v>
      </c>
      <c r="B985" s="51">
        <v>0</v>
      </c>
      <c r="C985" t="s">
        <v>167</v>
      </c>
      <c r="D985" t="s">
        <v>33</v>
      </c>
      <c r="E985" t="s">
        <v>385</v>
      </c>
      <c r="F985" t="s">
        <v>386</v>
      </c>
      <c r="G985">
        <v>41300</v>
      </c>
      <c r="H985" t="s">
        <v>170</v>
      </c>
      <c r="I985" t="s">
        <v>237</v>
      </c>
    </row>
    <row r="986" spans="1:9">
      <c r="A986" s="50">
        <v>45894</v>
      </c>
      <c r="B986" s="51">
        <v>0.6235185185185185</v>
      </c>
      <c r="C986" t="s">
        <v>172</v>
      </c>
      <c r="D986" t="s">
        <v>195</v>
      </c>
      <c r="E986" t="s">
        <v>173</v>
      </c>
      <c r="F986" t="s">
        <v>264</v>
      </c>
      <c r="G986">
        <v>28000</v>
      </c>
      <c r="H986" t="s">
        <v>170</v>
      </c>
      <c r="I986" t="s">
        <v>175</v>
      </c>
    </row>
    <row r="987" spans="1:9">
      <c r="A987" s="50">
        <v>45894</v>
      </c>
      <c r="B987" s="51">
        <v>0.6235185185185185</v>
      </c>
      <c r="C987" t="s">
        <v>167</v>
      </c>
      <c r="D987" t="s">
        <v>34</v>
      </c>
      <c r="E987" t="s">
        <v>208</v>
      </c>
      <c r="F987" t="s">
        <v>263</v>
      </c>
      <c r="G987">
        <v>-34000</v>
      </c>
      <c r="H987" t="s">
        <v>170</v>
      </c>
      <c r="I987" t="s">
        <v>175</v>
      </c>
    </row>
    <row r="988" spans="1:9">
      <c r="A988" s="50">
        <v>45893</v>
      </c>
      <c r="B988" s="51">
        <v>0.4443402777777778</v>
      </c>
      <c r="C988" t="s">
        <v>167</v>
      </c>
      <c r="D988" t="s">
        <v>42</v>
      </c>
      <c r="E988" t="s">
        <v>235</v>
      </c>
      <c r="F988" t="s">
        <v>353</v>
      </c>
      <c r="G988">
        <v>-90000</v>
      </c>
      <c r="H988" t="s">
        <v>170</v>
      </c>
      <c r="I988" t="s">
        <v>187</v>
      </c>
    </row>
    <row r="989" spans="1:9">
      <c r="A989" s="50">
        <v>45892</v>
      </c>
      <c r="B989" s="51">
        <v>0.5847685185185185</v>
      </c>
      <c r="C989" t="s">
        <v>167</v>
      </c>
      <c r="D989" t="s">
        <v>42</v>
      </c>
      <c r="E989" t="s">
        <v>338</v>
      </c>
      <c r="F989" t="s">
        <v>339</v>
      </c>
      <c r="G989">
        <v>-7600</v>
      </c>
      <c r="H989" t="s">
        <v>170</v>
      </c>
      <c r="I989" t="s">
        <v>187</v>
      </c>
    </row>
    <row r="990" spans="1:9">
      <c r="A990" s="50">
        <v>45892</v>
      </c>
      <c r="B990" s="51">
        <v>0.4692939814814815</v>
      </c>
      <c r="C990" t="s">
        <v>167</v>
      </c>
      <c r="D990" t="s">
        <v>35</v>
      </c>
      <c r="E990" t="s">
        <v>271</v>
      </c>
      <c r="F990" t="s">
        <v>567</v>
      </c>
      <c r="G990">
        <v>-4000</v>
      </c>
      <c r="H990" t="s">
        <v>170</v>
      </c>
      <c r="I990" t="s">
        <v>171</v>
      </c>
    </row>
    <row r="991" spans="1:9">
      <c r="A991" s="50">
        <v>45892</v>
      </c>
      <c r="B991" s="51">
        <v>0.4651388888888889</v>
      </c>
      <c r="C991" t="s">
        <v>167</v>
      </c>
      <c r="D991" t="s">
        <v>46</v>
      </c>
      <c r="E991" t="s">
        <v>168</v>
      </c>
      <c r="F991" t="s">
        <v>418</v>
      </c>
      <c r="G991">
        <v>-1800</v>
      </c>
      <c r="H991" t="s">
        <v>170</v>
      </c>
      <c r="I991" t="s">
        <v>171</v>
      </c>
    </row>
    <row r="992" spans="1:9">
      <c r="A992" s="50">
        <v>45892</v>
      </c>
      <c r="B992" s="51">
        <v>0.2325</v>
      </c>
      <c r="C992" t="s">
        <v>233</v>
      </c>
      <c r="D992" t="s">
        <v>28</v>
      </c>
      <c r="E992" t="s">
        <v>173</v>
      </c>
      <c r="F992" t="s">
        <v>278</v>
      </c>
      <c r="G992">
        <v>9</v>
      </c>
      <c r="H992" t="s">
        <v>170</v>
      </c>
      <c r="I992" t="s">
        <v>60</v>
      </c>
    </row>
    <row r="993" spans="1:9">
      <c r="A993" s="50">
        <v>45891</v>
      </c>
      <c r="B993" s="51">
        <v>0.8875925925925926</v>
      </c>
      <c r="C993" t="s">
        <v>167</v>
      </c>
      <c r="D993" t="s">
        <v>33</v>
      </c>
      <c r="E993" t="s">
        <v>385</v>
      </c>
      <c r="F993" t="s">
        <v>386</v>
      </c>
      <c r="G993">
        <v>-41300</v>
      </c>
      <c r="H993" t="s">
        <v>170</v>
      </c>
      <c r="I993" t="s">
        <v>237</v>
      </c>
    </row>
    <row r="994" spans="1:9">
      <c r="A994" s="50">
        <v>45891</v>
      </c>
      <c r="B994" s="51">
        <v>0.8319791666666667</v>
      </c>
      <c r="C994" t="s">
        <v>167</v>
      </c>
      <c r="D994" t="s">
        <v>46</v>
      </c>
      <c r="E994" t="s">
        <v>413</v>
      </c>
      <c r="F994" t="s">
        <v>414</v>
      </c>
      <c r="G994">
        <v>-9800</v>
      </c>
      <c r="H994" t="s">
        <v>170</v>
      </c>
      <c r="I994" t="s">
        <v>171</v>
      </c>
    </row>
    <row r="995" spans="1:9">
      <c r="A995" s="50">
        <v>45891</v>
      </c>
      <c r="B995" s="51">
        <v>0.501875</v>
      </c>
      <c r="C995" t="s">
        <v>167</v>
      </c>
      <c r="D995" t="s">
        <v>46</v>
      </c>
      <c r="E995" t="s">
        <v>168</v>
      </c>
      <c r="F995" t="s">
        <v>418</v>
      </c>
      <c r="G995">
        <v>-1800</v>
      </c>
      <c r="H995" t="s">
        <v>170</v>
      </c>
      <c r="I995" t="s">
        <v>171</v>
      </c>
    </row>
    <row r="996" spans="1:9">
      <c r="A996" s="50">
        <v>45891</v>
      </c>
      <c r="B996" s="51">
        <v>0.4993981481481481</v>
      </c>
      <c r="C996" t="s">
        <v>172</v>
      </c>
      <c r="D996" t="s">
        <v>65</v>
      </c>
      <c r="E996" t="s">
        <v>173</v>
      </c>
      <c r="F996" t="s">
        <v>568</v>
      </c>
      <c r="G996">
        <v>190</v>
      </c>
      <c r="H996" t="s">
        <v>170</v>
      </c>
      <c r="I996" t="s">
        <v>61</v>
      </c>
    </row>
    <row r="997" spans="1:9">
      <c r="A997" s="50">
        <v>45891</v>
      </c>
      <c r="B997" s="51">
        <v>0.4990740740740741</v>
      </c>
      <c r="C997" t="s">
        <v>167</v>
      </c>
      <c r="D997" t="s">
        <v>45</v>
      </c>
      <c r="E997" t="s">
        <v>185</v>
      </c>
      <c r="F997" t="s">
        <v>569</v>
      </c>
      <c r="G997">
        <v>-70071910</v>
      </c>
      <c r="H997" t="s">
        <v>170</v>
      </c>
      <c r="I997" t="s">
        <v>61</v>
      </c>
    </row>
    <row r="998" spans="1:9">
      <c r="A998" s="50">
        <v>45890</v>
      </c>
      <c r="B998" s="51">
        <v>0.7188310185185185</v>
      </c>
      <c r="C998" t="s">
        <v>167</v>
      </c>
      <c r="D998" t="s">
        <v>37</v>
      </c>
      <c r="E998" t="s">
        <v>350</v>
      </c>
      <c r="F998" t="s">
        <v>570</v>
      </c>
      <c r="G998">
        <v>-30000</v>
      </c>
      <c r="H998" t="s">
        <v>170</v>
      </c>
      <c r="I998" t="s">
        <v>171</v>
      </c>
    </row>
    <row r="999" spans="1:9">
      <c r="A999" s="50">
        <v>45890</v>
      </c>
      <c r="B999" s="51">
        <v>0.4965625</v>
      </c>
      <c r="C999" t="s">
        <v>167</v>
      </c>
      <c r="D999" t="s">
        <v>46</v>
      </c>
      <c r="E999" t="s">
        <v>168</v>
      </c>
      <c r="F999" t="s">
        <v>418</v>
      </c>
      <c r="G999">
        <v>-1800</v>
      </c>
      <c r="H999" t="s">
        <v>170</v>
      </c>
      <c r="I999" t="s">
        <v>171</v>
      </c>
    </row>
    <row r="1000" spans="1:9">
      <c r="A1000" s="50">
        <v>45890</v>
      </c>
      <c r="B1000" s="51">
        <v>0.4940856481481481</v>
      </c>
      <c r="C1000" t="s">
        <v>167</v>
      </c>
      <c r="D1000" t="s">
        <v>42</v>
      </c>
      <c r="E1000" t="s">
        <v>188</v>
      </c>
      <c r="F1000" t="s">
        <v>493</v>
      </c>
      <c r="G1000">
        <v>-31053</v>
      </c>
      <c r="H1000" t="s">
        <v>170</v>
      </c>
      <c r="I1000" t="s">
        <v>187</v>
      </c>
    </row>
    <row r="1001" spans="1:9">
      <c r="A1001" s="50">
        <v>45889</v>
      </c>
      <c r="B1001" s="51">
        <v>0.4820717592592593</v>
      </c>
      <c r="C1001" t="s">
        <v>167</v>
      </c>
      <c r="D1001" t="s">
        <v>46</v>
      </c>
      <c r="E1001" t="s">
        <v>168</v>
      </c>
      <c r="F1001" t="s">
        <v>418</v>
      </c>
      <c r="G1001">
        <v>-1800</v>
      </c>
      <c r="H1001" t="s">
        <v>170</v>
      </c>
      <c r="I1001" t="s">
        <v>171</v>
      </c>
    </row>
    <row r="1002" spans="1:9">
      <c r="A1002" s="50">
        <v>45888</v>
      </c>
      <c r="B1002" s="51">
        <v>0.6425231481481481</v>
      </c>
      <c r="C1002" t="s">
        <v>167</v>
      </c>
      <c r="D1002" t="s">
        <v>33</v>
      </c>
      <c r="E1002" t="s">
        <v>385</v>
      </c>
      <c r="F1002" t="s">
        <v>386</v>
      </c>
      <c r="G1002">
        <v>-43500</v>
      </c>
      <c r="H1002" t="s">
        <v>170</v>
      </c>
      <c r="I1002" t="s">
        <v>237</v>
      </c>
    </row>
    <row r="1003" spans="1:9">
      <c r="A1003" s="50">
        <v>45888</v>
      </c>
      <c r="B1003" s="51">
        <v>0.6358564814814814</v>
      </c>
      <c r="C1003" t="s">
        <v>167</v>
      </c>
      <c r="D1003" t="s">
        <v>38</v>
      </c>
      <c r="E1003" t="s">
        <v>571</v>
      </c>
      <c r="F1003" t="s">
        <v>572</v>
      </c>
      <c r="G1003">
        <v>-45600</v>
      </c>
      <c r="H1003" t="s">
        <v>170</v>
      </c>
      <c r="I1003" t="s">
        <v>171</v>
      </c>
    </row>
    <row r="1004" spans="1:9">
      <c r="A1004" s="50">
        <v>45888</v>
      </c>
      <c r="B1004" s="51">
        <v>0.5933564814814815</v>
      </c>
      <c r="C1004" t="s">
        <v>172</v>
      </c>
      <c r="D1004" t="s">
        <v>195</v>
      </c>
      <c r="E1004" t="s">
        <v>173</v>
      </c>
      <c r="F1004" t="s">
        <v>573</v>
      </c>
      <c r="G1004">
        <v>-30000000</v>
      </c>
      <c r="H1004" t="s">
        <v>170</v>
      </c>
      <c r="I1004" t="s">
        <v>61</v>
      </c>
    </row>
    <row r="1005" spans="1:9">
      <c r="A1005" s="50">
        <v>45888</v>
      </c>
      <c r="B1005" s="51">
        <v>0.5905902777777777</v>
      </c>
      <c r="C1005" t="s">
        <v>167</v>
      </c>
      <c r="D1005" t="s">
        <v>42</v>
      </c>
      <c r="E1005" t="s">
        <v>235</v>
      </c>
      <c r="F1005" t="s">
        <v>242</v>
      </c>
      <c r="G1005">
        <v>-12480</v>
      </c>
      <c r="H1005" t="s">
        <v>170</v>
      </c>
      <c r="I1005" t="s">
        <v>243</v>
      </c>
    </row>
    <row r="1006" spans="1:9">
      <c r="A1006" s="50">
        <v>45888</v>
      </c>
      <c r="B1006" s="51">
        <v>0.5687847222222222</v>
      </c>
      <c r="C1006" t="s">
        <v>167</v>
      </c>
      <c r="D1006" t="s">
        <v>45</v>
      </c>
      <c r="E1006" t="s">
        <v>185</v>
      </c>
      <c r="F1006" t="s">
        <v>186</v>
      </c>
      <c r="G1006">
        <v>-47080</v>
      </c>
      <c r="H1006" t="s">
        <v>170</v>
      </c>
      <c r="I1006" t="s">
        <v>187</v>
      </c>
    </row>
    <row r="1007" spans="1:9">
      <c r="A1007" s="50">
        <v>45888</v>
      </c>
      <c r="B1007" s="51">
        <v>0.4977199074074074</v>
      </c>
      <c r="C1007" t="s">
        <v>167</v>
      </c>
      <c r="D1007" t="s">
        <v>46</v>
      </c>
      <c r="E1007" t="s">
        <v>168</v>
      </c>
      <c r="F1007" t="s">
        <v>418</v>
      </c>
      <c r="G1007">
        <v>-1800</v>
      </c>
      <c r="H1007" t="s">
        <v>170</v>
      </c>
      <c r="I1007" t="s">
        <v>171</v>
      </c>
    </row>
    <row r="1008" spans="1:9">
      <c r="A1008" s="50">
        <v>45887</v>
      </c>
      <c r="B1008" s="51">
        <v>0.4756365740740741</v>
      </c>
      <c r="C1008" t="s">
        <v>167</v>
      </c>
      <c r="D1008" t="s">
        <v>46</v>
      </c>
      <c r="E1008" t="s">
        <v>168</v>
      </c>
      <c r="F1008" t="s">
        <v>574</v>
      </c>
      <c r="G1008">
        <v>-4000</v>
      </c>
      <c r="H1008" t="s">
        <v>170</v>
      </c>
      <c r="I1008" t="s">
        <v>171</v>
      </c>
    </row>
    <row r="1009" spans="1:9">
      <c r="A1009" s="50">
        <v>45887</v>
      </c>
      <c r="B1009" s="51">
        <v>0.3986574074074074</v>
      </c>
      <c r="C1009" t="s">
        <v>172</v>
      </c>
      <c r="D1009" t="s">
        <v>195</v>
      </c>
      <c r="E1009" t="s">
        <v>173</v>
      </c>
      <c r="F1009" t="s">
        <v>264</v>
      </c>
      <c r="G1009">
        <v>10000</v>
      </c>
      <c r="H1009" t="s">
        <v>170</v>
      </c>
      <c r="I1009" t="s">
        <v>175</v>
      </c>
    </row>
    <row r="1010" spans="1:9">
      <c r="A1010" s="50">
        <v>45887</v>
      </c>
      <c r="B1010" s="51">
        <v>0.3986574074074074</v>
      </c>
      <c r="C1010" t="s">
        <v>172</v>
      </c>
      <c r="D1010" t="s">
        <v>172</v>
      </c>
      <c r="E1010" t="s">
        <v>173</v>
      </c>
      <c r="F1010" t="s">
        <v>575</v>
      </c>
      <c r="G1010">
        <v>-4000</v>
      </c>
      <c r="H1010" t="s">
        <v>170</v>
      </c>
      <c r="I1010" t="s">
        <v>175</v>
      </c>
    </row>
    <row r="1011" spans="1:9">
      <c r="A1011" s="50">
        <v>45887</v>
      </c>
      <c r="B1011" s="51">
        <v>0.3671527777777778</v>
      </c>
      <c r="C1011" t="s">
        <v>172</v>
      </c>
      <c r="D1011" t="s">
        <v>172</v>
      </c>
      <c r="E1011" t="s">
        <v>173</v>
      </c>
      <c r="F1011" t="s">
        <v>202</v>
      </c>
      <c r="G1011">
        <v>-19970</v>
      </c>
      <c r="H1011" t="s">
        <v>170</v>
      </c>
      <c r="I1011" t="s">
        <v>60</v>
      </c>
    </row>
    <row r="1012" spans="1:9">
      <c r="A1012" s="50">
        <v>45887</v>
      </c>
      <c r="B1012" s="51">
        <v>0.1330787037037037</v>
      </c>
      <c r="C1012" t="s">
        <v>172</v>
      </c>
      <c r="D1012" t="s">
        <v>200</v>
      </c>
      <c r="E1012" t="s">
        <v>173</v>
      </c>
      <c r="F1012" t="s">
        <v>201</v>
      </c>
      <c r="G1012">
        <v>-702139</v>
      </c>
      <c r="H1012" t="s">
        <v>170</v>
      </c>
      <c r="I1012" t="s">
        <v>61</v>
      </c>
    </row>
    <row r="1013" spans="1:9">
      <c r="A1013" s="50">
        <v>45886</v>
      </c>
      <c r="B1013" s="51">
        <v>0.4830208333333333</v>
      </c>
      <c r="C1013" t="s">
        <v>167</v>
      </c>
      <c r="D1013" t="s">
        <v>46</v>
      </c>
      <c r="E1013" t="s">
        <v>168</v>
      </c>
      <c r="F1013" t="s">
        <v>418</v>
      </c>
      <c r="G1013">
        <v>-1800</v>
      </c>
      <c r="H1013" t="s">
        <v>170</v>
      </c>
      <c r="I1013" t="s">
        <v>171</v>
      </c>
    </row>
    <row r="1014" spans="1:9">
      <c r="A1014" s="50">
        <v>45885</v>
      </c>
      <c r="B1014" s="51">
        <v>0.4824421296296296</v>
      </c>
      <c r="C1014" t="s">
        <v>167</v>
      </c>
      <c r="D1014" t="s">
        <v>34</v>
      </c>
      <c r="E1014" t="s">
        <v>208</v>
      </c>
      <c r="F1014" t="s">
        <v>308</v>
      </c>
      <c r="G1014">
        <v>-28980</v>
      </c>
      <c r="H1014" t="s">
        <v>170</v>
      </c>
      <c r="I1014" t="s">
        <v>187</v>
      </c>
    </row>
    <row r="1015" spans="1:9">
      <c r="A1015" s="50">
        <v>45885</v>
      </c>
      <c r="B1015" s="51">
        <v>0.4708101851851852</v>
      </c>
      <c r="C1015" t="s">
        <v>167</v>
      </c>
      <c r="D1015" t="s">
        <v>42</v>
      </c>
      <c r="E1015" t="s">
        <v>338</v>
      </c>
      <c r="F1015" t="s">
        <v>339</v>
      </c>
      <c r="G1015">
        <v>-12000</v>
      </c>
      <c r="H1015" t="s">
        <v>170</v>
      </c>
      <c r="I1015" t="s">
        <v>187</v>
      </c>
    </row>
    <row r="1016" spans="1:9">
      <c r="A1016" s="50">
        <v>45885</v>
      </c>
      <c r="B1016" s="51">
        <v>0.3653935185185185</v>
      </c>
      <c r="C1016" t="s">
        <v>167</v>
      </c>
      <c r="D1016" t="s">
        <v>40</v>
      </c>
      <c r="E1016" t="s">
        <v>176</v>
      </c>
      <c r="F1016" t="s">
        <v>576</v>
      </c>
      <c r="G1016">
        <v>-4600</v>
      </c>
      <c r="H1016" t="s">
        <v>170</v>
      </c>
      <c r="I1016" t="s">
        <v>243</v>
      </c>
    </row>
    <row r="1017" spans="1:9">
      <c r="A1017" s="50">
        <v>45885</v>
      </c>
      <c r="B1017" s="51">
        <v>0.3386805555555555</v>
      </c>
      <c r="C1017" t="s">
        <v>172</v>
      </c>
      <c r="D1017" t="s">
        <v>195</v>
      </c>
      <c r="E1017" t="s">
        <v>173</v>
      </c>
      <c r="F1017" t="s">
        <v>264</v>
      </c>
      <c r="G1017">
        <v>248650</v>
      </c>
      <c r="H1017" t="s">
        <v>170</v>
      </c>
      <c r="I1017" t="s">
        <v>175</v>
      </c>
    </row>
    <row r="1018" spans="1:9">
      <c r="A1018" s="50">
        <v>45885</v>
      </c>
      <c r="B1018" s="51">
        <v>0.3386805555555555</v>
      </c>
      <c r="C1018" t="s">
        <v>172</v>
      </c>
      <c r="D1018" t="s">
        <v>172</v>
      </c>
      <c r="E1018" t="s">
        <v>173</v>
      </c>
      <c r="F1018" t="s">
        <v>577</v>
      </c>
      <c r="G1018">
        <v>-250000</v>
      </c>
      <c r="H1018" t="s">
        <v>170</v>
      </c>
      <c r="I1018" t="s">
        <v>175</v>
      </c>
    </row>
    <row r="1019" spans="1:9">
      <c r="A1019" s="50">
        <v>45885</v>
      </c>
      <c r="B1019" s="51">
        <v>0.3345717592592592</v>
      </c>
      <c r="C1019" t="s">
        <v>172</v>
      </c>
      <c r="D1019" t="s">
        <v>195</v>
      </c>
      <c r="E1019" t="s">
        <v>173</v>
      </c>
      <c r="F1019" t="s">
        <v>264</v>
      </c>
      <c r="G1019">
        <v>10000</v>
      </c>
      <c r="H1019" t="s">
        <v>170</v>
      </c>
      <c r="I1019" t="s">
        <v>175</v>
      </c>
    </row>
    <row r="1020" spans="1:9">
      <c r="A1020" s="50">
        <v>45885</v>
      </c>
      <c r="B1020" s="51">
        <v>0.3345717592592592</v>
      </c>
      <c r="C1020" t="s">
        <v>172</v>
      </c>
      <c r="D1020" t="s">
        <v>172</v>
      </c>
      <c r="E1020" t="s">
        <v>173</v>
      </c>
      <c r="F1020" t="s">
        <v>578</v>
      </c>
      <c r="G1020">
        <v>-23060</v>
      </c>
      <c r="H1020" t="s">
        <v>170</v>
      </c>
      <c r="I1020" t="s">
        <v>175</v>
      </c>
    </row>
    <row r="1021" spans="1:9">
      <c r="A1021" s="50">
        <v>45885</v>
      </c>
      <c r="B1021" s="51">
        <v>0.3338773148148148</v>
      </c>
      <c r="C1021" t="s">
        <v>172</v>
      </c>
      <c r="D1021" t="s">
        <v>172</v>
      </c>
      <c r="E1021" t="s">
        <v>173</v>
      </c>
      <c r="F1021" t="s">
        <v>578</v>
      </c>
      <c r="G1021">
        <v>-12490</v>
      </c>
      <c r="H1021" t="s">
        <v>170</v>
      </c>
      <c r="I1021" t="s">
        <v>175</v>
      </c>
    </row>
    <row r="1022" spans="1:9">
      <c r="A1022" s="50">
        <v>45885</v>
      </c>
      <c r="B1022" s="51">
        <v>0.3266087962962963</v>
      </c>
      <c r="C1022" t="s">
        <v>172</v>
      </c>
      <c r="D1022" t="s">
        <v>190</v>
      </c>
      <c r="E1022" t="s">
        <v>173</v>
      </c>
      <c r="F1022" t="s">
        <v>579</v>
      </c>
      <c r="G1022">
        <v>100000000</v>
      </c>
      <c r="H1022" t="s">
        <v>170</v>
      </c>
      <c r="I1022" t="s">
        <v>61</v>
      </c>
    </row>
    <row r="1023" spans="1:9">
      <c r="A1023" s="50">
        <v>45885</v>
      </c>
      <c r="B1023" s="51">
        <v>0.07478009259259259</v>
      </c>
      <c r="C1023" t="s">
        <v>167</v>
      </c>
      <c r="D1023" t="s">
        <v>42</v>
      </c>
      <c r="E1023" t="s">
        <v>235</v>
      </c>
      <c r="F1023" t="s">
        <v>242</v>
      </c>
      <c r="G1023">
        <v>-10120</v>
      </c>
      <c r="H1023" t="s">
        <v>170</v>
      </c>
      <c r="I1023" t="s">
        <v>243</v>
      </c>
    </row>
    <row r="1024" spans="1:9">
      <c r="A1024" s="50">
        <v>45885</v>
      </c>
      <c r="B1024" s="51">
        <v>0.07237268518518518</v>
      </c>
      <c r="C1024" t="s">
        <v>167</v>
      </c>
      <c r="D1024" t="s">
        <v>42</v>
      </c>
      <c r="E1024" t="s">
        <v>235</v>
      </c>
      <c r="F1024" t="s">
        <v>368</v>
      </c>
      <c r="G1024">
        <v>26900</v>
      </c>
      <c r="H1024" t="s">
        <v>170</v>
      </c>
      <c r="I1024" t="s">
        <v>253</v>
      </c>
    </row>
    <row r="1025" spans="1:9">
      <c r="A1025" s="50">
        <v>45885</v>
      </c>
      <c r="B1025" s="51">
        <v>0.06510416666666667</v>
      </c>
      <c r="C1025" t="s">
        <v>172</v>
      </c>
      <c r="D1025" t="s">
        <v>195</v>
      </c>
      <c r="E1025" t="s">
        <v>173</v>
      </c>
      <c r="F1025" t="s">
        <v>264</v>
      </c>
      <c r="G1025">
        <v>19400</v>
      </c>
      <c r="H1025" t="s">
        <v>170</v>
      </c>
      <c r="I1025" t="s">
        <v>175</v>
      </c>
    </row>
    <row r="1026" spans="1:9">
      <c r="A1026" s="50">
        <v>45885</v>
      </c>
      <c r="B1026" s="51">
        <v>0.06510416666666667</v>
      </c>
      <c r="C1026" t="s">
        <v>167</v>
      </c>
      <c r="D1026" t="s">
        <v>42</v>
      </c>
      <c r="E1026" t="s">
        <v>235</v>
      </c>
      <c r="F1026" t="s">
        <v>368</v>
      </c>
      <c r="G1026">
        <v>-26900</v>
      </c>
      <c r="H1026" t="s">
        <v>170</v>
      </c>
      <c r="I1026" t="s">
        <v>253</v>
      </c>
    </row>
    <row r="1027" spans="1:9">
      <c r="A1027" s="50">
        <v>45884</v>
      </c>
      <c r="B1027" s="51">
        <v>0.9043634259259259</v>
      </c>
      <c r="C1027" t="s">
        <v>167</v>
      </c>
      <c r="D1027" t="s">
        <v>38</v>
      </c>
      <c r="E1027" t="s">
        <v>259</v>
      </c>
      <c r="F1027" t="s">
        <v>580</v>
      </c>
      <c r="G1027">
        <v>-11000</v>
      </c>
      <c r="H1027" t="s">
        <v>170</v>
      </c>
      <c r="I1027" t="s">
        <v>243</v>
      </c>
    </row>
    <row r="1028" spans="1:9">
      <c r="A1028" s="50">
        <v>45884</v>
      </c>
      <c r="B1028" s="51">
        <v>0.8892476851851852</v>
      </c>
      <c r="C1028" t="s">
        <v>167</v>
      </c>
      <c r="D1028" t="s">
        <v>40</v>
      </c>
      <c r="E1028" t="s">
        <v>176</v>
      </c>
      <c r="F1028" t="s">
        <v>581</v>
      </c>
      <c r="G1028">
        <v>-42200</v>
      </c>
      <c r="H1028" t="s">
        <v>170</v>
      </c>
      <c r="I1028" t="s">
        <v>243</v>
      </c>
    </row>
    <row r="1029" spans="1:9">
      <c r="A1029" s="50">
        <v>45884</v>
      </c>
      <c r="B1029" s="51">
        <v>0.6346296296296297</v>
      </c>
      <c r="C1029" t="s">
        <v>167</v>
      </c>
      <c r="D1029" t="s">
        <v>46</v>
      </c>
      <c r="E1029" t="s">
        <v>168</v>
      </c>
      <c r="F1029" t="s">
        <v>582</v>
      </c>
      <c r="G1029">
        <v>-1500</v>
      </c>
      <c r="H1029" t="s">
        <v>170</v>
      </c>
      <c r="I1029" t="s">
        <v>243</v>
      </c>
    </row>
    <row r="1030" spans="1:9">
      <c r="A1030" s="50">
        <v>45884</v>
      </c>
      <c r="B1030" s="51">
        <v>0.5875925925925926</v>
      </c>
      <c r="C1030" t="s">
        <v>167</v>
      </c>
      <c r="D1030" t="s">
        <v>40</v>
      </c>
      <c r="E1030" t="s">
        <v>383</v>
      </c>
      <c r="F1030" t="s">
        <v>583</v>
      </c>
      <c r="G1030">
        <v>-28500</v>
      </c>
      <c r="H1030" t="s">
        <v>170</v>
      </c>
      <c r="I1030" t="s">
        <v>243</v>
      </c>
    </row>
    <row r="1031" spans="1:9">
      <c r="A1031" s="50">
        <v>45884</v>
      </c>
      <c r="B1031" s="51">
        <v>0.4707870370370371</v>
      </c>
      <c r="C1031" t="s">
        <v>167</v>
      </c>
      <c r="D1031" t="s">
        <v>35</v>
      </c>
      <c r="E1031" t="s">
        <v>197</v>
      </c>
      <c r="F1031" t="s">
        <v>198</v>
      </c>
      <c r="G1031">
        <v>-12000</v>
      </c>
      <c r="H1031" t="s">
        <v>170</v>
      </c>
      <c r="I1031" t="s">
        <v>199</v>
      </c>
    </row>
    <row r="1032" spans="1:9">
      <c r="A1032" s="50">
        <v>45883</v>
      </c>
      <c r="B1032" s="51">
        <v>0.8784143518518519</v>
      </c>
      <c r="C1032" t="s">
        <v>167</v>
      </c>
      <c r="D1032" t="s">
        <v>40</v>
      </c>
      <c r="E1032" t="s">
        <v>261</v>
      </c>
      <c r="F1032" t="s">
        <v>262</v>
      </c>
      <c r="G1032">
        <v>-26000</v>
      </c>
      <c r="H1032" t="s">
        <v>170</v>
      </c>
      <c r="I1032" t="s">
        <v>243</v>
      </c>
    </row>
    <row r="1033" spans="1:9">
      <c r="A1033" s="50">
        <v>45883</v>
      </c>
      <c r="B1033" s="51">
        <v>0.8734143518518519</v>
      </c>
      <c r="C1033" t="s">
        <v>167</v>
      </c>
      <c r="D1033" t="s">
        <v>38</v>
      </c>
      <c r="E1033" t="s">
        <v>181</v>
      </c>
      <c r="F1033" t="s">
        <v>584</v>
      </c>
      <c r="G1033">
        <v>-7000</v>
      </c>
      <c r="H1033" t="s">
        <v>170</v>
      </c>
      <c r="I1033" t="s">
        <v>243</v>
      </c>
    </row>
    <row r="1034" spans="1:9">
      <c r="A1034" s="50">
        <v>45883</v>
      </c>
      <c r="B1034" s="51">
        <v>0.844386574074074</v>
      </c>
      <c r="C1034" t="s">
        <v>167</v>
      </c>
      <c r="D1034" t="s">
        <v>38</v>
      </c>
      <c r="E1034" t="s">
        <v>259</v>
      </c>
      <c r="F1034" t="s">
        <v>585</v>
      </c>
      <c r="G1034">
        <v>-3080</v>
      </c>
      <c r="H1034" t="s">
        <v>170</v>
      </c>
      <c r="I1034" t="s">
        <v>243</v>
      </c>
    </row>
    <row r="1035" spans="1:9">
      <c r="A1035" s="50">
        <v>45883</v>
      </c>
      <c r="B1035" s="51">
        <v>0.6890277777777778</v>
      </c>
      <c r="C1035" t="s">
        <v>167</v>
      </c>
      <c r="D1035" t="s">
        <v>46</v>
      </c>
      <c r="E1035" t="s">
        <v>413</v>
      </c>
      <c r="F1035" t="s">
        <v>586</v>
      </c>
      <c r="G1035">
        <v>-10600</v>
      </c>
      <c r="H1035" t="s">
        <v>170</v>
      </c>
      <c r="I1035" t="s">
        <v>243</v>
      </c>
    </row>
    <row r="1036" spans="1:9">
      <c r="A1036" s="50">
        <v>45883</v>
      </c>
      <c r="B1036" s="51">
        <v>0.6859027777777778</v>
      </c>
      <c r="C1036" t="s">
        <v>167</v>
      </c>
      <c r="D1036" t="s">
        <v>35</v>
      </c>
      <c r="E1036" t="s">
        <v>360</v>
      </c>
      <c r="F1036" t="s">
        <v>587</v>
      </c>
      <c r="G1036">
        <v>-3000</v>
      </c>
      <c r="H1036" t="s">
        <v>170</v>
      </c>
      <c r="I1036" t="s">
        <v>243</v>
      </c>
    </row>
    <row r="1037" spans="1:9">
      <c r="A1037" s="50">
        <v>45883</v>
      </c>
      <c r="B1037" s="51">
        <v>0.6830208333333333</v>
      </c>
      <c r="C1037" t="s">
        <v>167</v>
      </c>
      <c r="D1037" t="s">
        <v>35</v>
      </c>
      <c r="E1037" t="s">
        <v>562</v>
      </c>
      <c r="F1037" t="s">
        <v>588</v>
      </c>
      <c r="G1037">
        <v>-8400</v>
      </c>
      <c r="H1037" t="s">
        <v>170</v>
      </c>
      <c r="I1037" t="s">
        <v>243</v>
      </c>
    </row>
    <row r="1038" spans="1:9">
      <c r="A1038" s="50">
        <v>45883</v>
      </c>
      <c r="B1038" s="51">
        <v>0.6744212962962963</v>
      </c>
      <c r="C1038" t="s">
        <v>167</v>
      </c>
      <c r="D1038" t="s">
        <v>42</v>
      </c>
      <c r="E1038" t="s">
        <v>235</v>
      </c>
      <c r="F1038" t="s">
        <v>589</v>
      </c>
      <c r="G1038">
        <v>-20000</v>
      </c>
      <c r="H1038" t="s">
        <v>170</v>
      </c>
      <c r="I1038" t="s">
        <v>243</v>
      </c>
    </row>
    <row r="1039" spans="1:9">
      <c r="A1039" s="50">
        <v>45883</v>
      </c>
      <c r="B1039" s="51">
        <v>0.6436111111111111</v>
      </c>
      <c r="C1039" t="s">
        <v>167</v>
      </c>
      <c r="D1039" t="s">
        <v>42</v>
      </c>
      <c r="E1039" t="s">
        <v>338</v>
      </c>
      <c r="F1039" t="s">
        <v>339</v>
      </c>
      <c r="G1039">
        <v>-29000</v>
      </c>
      <c r="H1039" t="s">
        <v>170</v>
      </c>
      <c r="I1039" t="s">
        <v>187</v>
      </c>
    </row>
    <row r="1040" spans="1:9">
      <c r="A1040" s="50">
        <v>45883</v>
      </c>
      <c r="B1040" s="51">
        <v>0.5680208333333333</v>
      </c>
      <c r="C1040" t="s">
        <v>167</v>
      </c>
      <c r="D1040" t="s">
        <v>32</v>
      </c>
      <c r="E1040" t="s">
        <v>439</v>
      </c>
      <c r="F1040" t="s">
        <v>440</v>
      </c>
      <c r="G1040">
        <v>-23900</v>
      </c>
      <c r="H1040" t="s">
        <v>170</v>
      </c>
      <c r="I1040" t="s">
        <v>243</v>
      </c>
    </row>
    <row r="1041" spans="1:9">
      <c r="A1041" s="50">
        <v>45883</v>
      </c>
      <c r="B1041" s="51">
        <v>0.4932291666666667</v>
      </c>
      <c r="C1041" t="s">
        <v>167</v>
      </c>
      <c r="D1041" t="s">
        <v>46</v>
      </c>
      <c r="E1041" t="s">
        <v>168</v>
      </c>
      <c r="F1041" t="s">
        <v>590</v>
      </c>
      <c r="G1041">
        <v>-2500</v>
      </c>
      <c r="H1041" t="s">
        <v>170</v>
      </c>
      <c r="I1041" t="s">
        <v>253</v>
      </c>
    </row>
    <row r="1042" spans="1:9">
      <c r="A1042" s="50">
        <v>45882</v>
      </c>
      <c r="B1042" s="51">
        <v>0.7305902777777777</v>
      </c>
      <c r="C1042" t="s">
        <v>167</v>
      </c>
      <c r="D1042" t="s">
        <v>40</v>
      </c>
      <c r="E1042" t="s">
        <v>244</v>
      </c>
      <c r="F1042" t="s">
        <v>591</v>
      </c>
      <c r="G1042">
        <v>-3800</v>
      </c>
      <c r="H1042" t="s">
        <v>170</v>
      </c>
      <c r="I1042" t="s">
        <v>243</v>
      </c>
    </row>
    <row r="1043" spans="1:9">
      <c r="A1043" s="50">
        <v>45882</v>
      </c>
      <c r="B1043" s="51">
        <v>0.7023032407407407</v>
      </c>
      <c r="C1043" t="s">
        <v>167</v>
      </c>
      <c r="D1043" t="s">
        <v>40</v>
      </c>
      <c r="E1043" t="s">
        <v>176</v>
      </c>
      <c r="F1043" t="s">
        <v>592</v>
      </c>
      <c r="G1043">
        <v>-18500</v>
      </c>
      <c r="H1043" t="s">
        <v>170</v>
      </c>
      <c r="I1043" t="s">
        <v>243</v>
      </c>
    </row>
    <row r="1044" spans="1:9">
      <c r="A1044" s="50">
        <v>45882</v>
      </c>
      <c r="B1044" s="51">
        <v>0.4150925925925926</v>
      </c>
      <c r="C1044" t="s">
        <v>167</v>
      </c>
      <c r="D1044" t="s">
        <v>46</v>
      </c>
      <c r="E1044" t="s">
        <v>168</v>
      </c>
      <c r="F1044" t="s">
        <v>593</v>
      </c>
      <c r="G1044">
        <v>-2300</v>
      </c>
      <c r="H1044" t="s">
        <v>170</v>
      </c>
      <c r="I1044" t="s">
        <v>243</v>
      </c>
    </row>
    <row r="1045" spans="1:9">
      <c r="A1045" s="50">
        <v>45882</v>
      </c>
      <c r="B1045" s="51">
        <v>0.3893402777777778</v>
      </c>
      <c r="C1045" t="s">
        <v>167</v>
      </c>
      <c r="D1045" t="s">
        <v>38</v>
      </c>
      <c r="E1045" t="s">
        <v>259</v>
      </c>
      <c r="F1045" t="s">
        <v>585</v>
      </c>
      <c r="G1045">
        <v>-6160</v>
      </c>
      <c r="H1045" t="s">
        <v>170</v>
      </c>
      <c r="I1045" t="s">
        <v>243</v>
      </c>
    </row>
    <row r="1046" spans="1:9">
      <c r="A1046" s="50">
        <v>45881</v>
      </c>
      <c r="B1046" s="51">
        <v>0.9987847222222223</v>
      </c>
      <c r="C1046" t="s">
        <v>167</v>
      </c>
      <c r="D1046" t="s">
        <v>40</v>
      </c>
      <c r="E1046" t="s">
        <v>261</v>
      </c>
      <c r="F1046" t="s">
        <v>262</v>
      </c>
      <c r="G1046">
        <v>-24500</v>
      </c>
      <c r="H1046" t="s">
        <v>170</v>
      </c>
      <c r="I1046" t="s">
        <v>243</v>
      </c>
    </row>
    <row r="1047" spans="1:9">
      <c r="A1047" s="50">
        <v>45881</v>
      </c>
      <c r="B1047" s="51">
        <v>0.8451504629629629</v>
      </c>
      <c r="C1047" t="s">
        <v>167</v>
      </c>
      <c r="D1047" t="s">
        <v>42</v>
      </c>
      <c r="E1047" t="s">
        <v>338</v>
      </c>
      <c r="F1047" t="s">
        <v>339</v>
      </c>
      <c r="G1047">
        <v>-33000</v>
      </c>
      <c r="H1047" t="s">
        <v>170</v>
      </c>
      <c r="I1047" t="s">
        <v>187</v>
      </c>
    </row>
    <row r="1048" spans="1:9">
      <c r="A1048" s="50">
        <v>45881</v>
      </c>
      <c r="B1048" s="51">
        <v>0.8450810185185185</v>
      </c>
      <c r="C1048" t="s">
        <v>167</v>
      </c>
      <c r="D1048" t="s">
        <v>42</v>
      </c>
      <c r="E1048" t="s">
        <v>338</v>
      </c>
      <c r="F1048" t="s">
        <v>339</v>
      </c>
      <c r="G1048">
        <v>-29000</v>
      </c>
      <c r="H1048" t="s">
        <v>170</v>
      </c>
      <c r="I1048" t="s">
        <v>187</v>
      </c>
    </row>
    <row r="1049" spans="1:9">
      <c r="A1049" s="50">
        <v>45881</v>
      </c>
      <c r="B1049" s="51">
        <v>0.5945254629629629</v>
      </c>
      <c r="C1049" t="s">
        <v>167</v>
      </c>
      <c r="D1049" t="s">
        <v>40</v>
      </c>
      <c r="E1049" t="s">
        <v>261</v>
      </c>
      <c r="F1049" t="s">
        <v>262</v>
      </c>
      <c r="G1049">
        <v>-19500</v>
      </c>
      <c r="H1049" t="s">
        <v>170</v>
      </c>
      <c r="I1049" t="s">
        <v>243</v>
      </c>
    </row>
    <row r="1050" spans="1:9">
      <c r="A1050" s="50">
        <v>45881</v>
      </c>
      <c r="B1050" s="51">
        <v>0.4182986111111111</v>
      </c>
      <c r="C1050" t="s">
        <v>167</v>
      </c>
      <c r="D1050" t="s">
        <v>40</v>
      </c>
      <c r="E1050" t="s">
        <v>176</v>
      </c>
      <c r="F1050" t="s">
        <v>594</v>
      </c>
      <c r="G1050">
        <v>-8500</v>
      </c>
      <c r="H1050" t="s">
        <v>170</v>
      </c>
      <c r="I1050" t="s">
        <v>243</v>
      </c>
    </row>
    <row r="1051" spans="1:9">
      <c r="A1051" s="50">
        <v>45880</v>
      </c>
      <c r="B1051" s="51">
        <v>0.771238425925926</v>
      </c>
      <c r="C1051" t="s">
        <v>172</v>
      </c>
      <c r="D1051" t="s">
        <v>195</v>
      </c>
      <c r="E1051" t="s">
        <v>173</v>
      </c>
      <c r="F1051" t="s">
        <v>7</v>
      </c>
      <c r="G1051">
        <v>700000</v>
      </c>
      <c r="H1051" t="s">
        <v>170</v>
      </c>
      <c r="I1051" t="s">
        <v>67</v>
      </c>
    </row>
    <row r="1052" spans="1:9">
      <c r="A1052" s="50">
        <v>45880</v>
      </c>
      <c r="B1052" s="51">
        <v>0.771238425925926</v>
      </c>
      <c r="C1052" t="s">
        <v>172</v>
      </c>
      <c r="D1052" t="s">
        <v>195</v>
      </c>
      <c r="E1052" t="s">
        <v>173</v>
      </c>
      <c r="F1052" t="s">
        <v>595</v>
      </c>
      <c r="G1052">
        <v>-700000</v>
      </c>
      <c r="H1052" t="s">
        <v>170</v>
      </c>
      <c r="I1052" t="s">
        <v>59</v>
      </c>
    </row>
    <row r="1053" spans="1:9">
      <c r="A1053" s="50">
        <v>45880</v>
      </c>
      <c r="B1053" s="51">
        <v>0.7451041666666667</v>
      </c>
      <c r="C1053" t="s">
        <v>167</v>
      </c>
      <c r="D1053" t="s">
        <v>40</v>
      </c>
      <c r="E1053" t="s">
        <v>244</v>
      </c>
      <c r="F1053" t="s">
        <v>596</v>
      </c>
      <c r="G1053">
        <v>-11500</v>
      </c>
      <c r="H1053" t="s">
        <v>170</v>
      </c>
      <c r="I1053" t="s">
        <v>171</v>
      </c>
    </row>
    <row r="1054" spans="1:9">
      <c r="A1054" s="50">
        <v>45880</v>
      </c>
      <c r="B1054" s="51">
        <v>0.4778935185185185</v>
      </c>
      <c r="C1054" t="s">
        <v>167</v>
      </c>
      <c r="D1054" t="s">
        <v>40</v>
      </c>
      <c r="E1054" t="s">
        <v>261</v>
      </c>
      <c r="F1054" t="s">
        <v>262</v>
      </c>
      <c r="G1054">
        <v>-20000</v>
      </c>
      <c r="H1054" t="s">
        <v>170</v>
      </c>
      <c r="I1054" t="s">
        <v>243</v>
      </c>
    </row>
    <row r="1055" spans="1:9">
      <c r="A1055" s="50">
        <v>45880</v>
      </c>
      <c r="B1055" s="51">
        <v>0.4754282407407407</v>
      </c>
      <c r="C1055" t="s">
        <v>167</v>
      </c>
      <c r="D1055" t="s">
        <v>46</v>
      </c>
      <c r="E1055" t="s">
        <v>168</v>
      </c>
      <c r="F1055" t="s">
        <v>418</v>
      </c>
      <c r="G1055">
        <v>-1800</v>
      </c>
      <c r="H1055" t="s">
        <v>170</v>
      </c>
      <c r="I1055" t="s">
        <v>171</v>
      </c>
    </row>
    <row r="1056" spans="1:9">
      <c r="A1056" s="50">
        <v>45879</v>
      </c>
      <c r="B1056" s="51">
        <v>0.7749189814814815</v>
      </c>
      <c r="C1056" t="s">
        <v>167</v>
      </c>
      <c r="D1056" t="s">
        <v>42</v>
      </c>
      <c r="E1056" t="s">
        <v>188</v>
      </c>
      <c r="F1056" t="s">
        <v>354</v>
      </c>
      <c r="G1056">
        <v>-30927</v>
      </c>
      <c r="H1056" t="s">
        <v>170</v>
      </c>
      <c r="I1056" t="s">
        <v>187</v>
      </c>
    </row>
    <row r="1057" spans="1:9">
      <c r="A1057" s="50">
        <v>45879</v>
      </c>
      <c r="B1057" s="51">
        <v>0.4705208333333333</v>
      </c>
      <c r="C1057" t="s">
        <v>167</v>
      </c>
      <c r="D1057" t="s">
        <v>42</v>
      </c>
      <c r="E1057" t="s">
        <v>235</v>
      </c>
      <c r="F1057" t="s">
        <v>353</v>
      </c>
      <c r="G1057">
        <v>-114300</v>
      </c>
      <c r="H1057" t="s">
        <v>170</v>
      </c>
      <c r="I1057" t="s">
        <v>187</v>
      </c>
    </row>
    <row r="1058" spans="1:9">
      <c r="A1058" s="50">
        <v>45878</v>
      </c>
      <c r="B1058" s="51">
        <v>0.7051273148148148</v>
      </c>
      <c r="C1058" t="s">
        <v>172</v>
      </c>
      <c r="D1058" t="s">
        <v>172</v>
      </c>
      <c r="E1058" t="s">
        <v>173</v>
      </c>
      <c r="F1058" t="s">
        <v>202</v>
      </c>
      <c r="G1058">
        <v>-25130</v>
      </c>
      <c r="H1058" t="s">
        <v>170</v>
      </c>
      <c r="I1058" t="s">
        <v>60</v>
      </c>
    </row>
    <row r="1059" spans="1:9">
      <c r="A1059" s="50">
        <v>45878</v>
      </c>
      <c r="B1059" s="51">
        <v>0.6916435185185185</v>
      </c>
      <c r="C1059" t="s">
        <v>167</v>
      </c>
      <c r="D1059" t="s">
        <v>35</v>
      </c>
      <c r="E1059" t="s">
        <v>360</v>
      </c>
      <c r="F1059" t="s">
        <v>252</v>
      </c>
      <c r="G1059">
        <v>-11550</v>
      </c>
      <c r="H1059" t="s">
        <v>170</v>
      </c>
      <c r="I1059" t="s">
        <v>253</v>
      </c>
    </row>
    <row r="1060" spans="1:9">
      <c r="A1060" s="50">
        <v>45878</v>
      </c>
      <c r="B1060" s="51">
        <v>0.5728472222222222</v>
      </c>
      <c r="C1060" t="s">
        <v>167</v>
      </c>
      <c r="D1060" t="s">
        <v>46</v>
      </c>
      <c r="E1060" t="s">
        <v>168</v>
      </c>
      <c r="F1060" t="s">
        <v>418</v>
      </c>
      <c r="G1060">
        <v>-4600</v>
      </c>
      <c r="H1060" t="s">
        <v>170</v>
      </c>
      <c r="I1060" t="s">
        <v>171</v>
      </c>
    </row>
    <row r="1061" spans="1:9">
      <c r="A1061" s="50">
        <v>45877</v>
      </c>
      <c r="B1061" s="51">
        <v>0.7887384259259259</v>
      </c>
      <c r="C1061" t="s">
        <v>167</v>
      </c>
      <c r="D1061" t="s">
        <v>42</v>
      </c>
      <c r="E1061" t="s">
        <v>235</v>
      </c>
      <c r="F1061" t="s">
        <v>477</v>
      </c>
      <c r="G1061">
        <v>-46550</v>
      </c>
      <c r="H1061" t="s">
        <v>170</v>
      </c>
      <c r="I1061" t="s">
        <v>187</v>
      </c>
    </row>
    <row r="1062" spans="1:9">
      <c r="A1062" s="50">
        <v>45877</v>
      </c>
      <c r="B1062" s="51">
        <v>0.6625578703703704</v>
      </c>
      <c r="C1062" t="s">
        <v>167</v>
      </c>
      <c r="D1062" t="s">
        <v>42</v>
      </c>
      <c r="E1062" t="s">
        <v>235</v>
      </c>
      <c r="F1062" t="s">
        <v>242</v>
      </c>
      <c r="G1062">
        <v>-13000</v>
      </c>
      <c r="H1062" t="s">
        <v>170</v>
      </c>
      <c r="I1062" t="s">
        <v>243</v>
      </c>
    </row>
    <row r="1063" spans="1:9">
      <c r="A1063" s="50">
        <v>45877</v>
      </c>
      <c r="B1063" s="51">
        <v>0.4889236111111111</v>
      </c>
      <c r="C1063" t="s">
        <v>167</v>
      </c>
      <c r="D1063" t="s">
        <v>46</v>
      </c>
      <c r="E1063" t="s">
        <v>168</v>
      </c>
      <c r="F1063" t="s">
        <v>418</v>
      </c>
      <c r="G1063">
        <v>-4100</v>
      </c>
      <c r="H1063" t="s">
        <v>170</v>
      </c>
      <c r="I1063" t="s">
        <v>171</v>
      </c>
    </row>
    <row r="1064" spans="1:9">
      <c r="A1064" s="50">
        <v>45876</v>
      </c>
      <c r="B1064" s="51">
        <v>0.9140277777777778</v>
      </c>
      <c r="C1064" t="s">
        <v>167</v>
      </c>
      <c r="D1064" t="s">
        <v>42</v>
      </c>
      <c r="E1064" t="s">
        <v>188</v>
      </c>
      <c r="F1064" t="s">
        <v>597</v>
      </c>
      <c r="G1064">
        <v>-15363</v>
      </c>
      <c r="H1064" t="s">
        <v>170</v>
      </c>
      <c r="I1064" t="s">
        <v>187</v>
      </c>
    </row>
    <row r="1065" spans="1:9">
      <c r="A1065" s="50">
        <v>45876</v>
      </c>
      <c r="B1065" s="51">
        <v>0.8670370370370371</v>
      </c>
      <c r="C1065" t="s">
        <v>167</v>
      </c>
      <c r="D1065" t="s">
        <v>42</v>
      </c>
      <c r="E1065" t="s">
        <v>338</v>
      </c>
      <c r="F1065" t="s">
        <v>339</v>
      </c>
      <c r="G1065">
        <v>-44000</v>
      </c>
      <c r="H1065" t="s">
        <v>170</v>
      </c>
      <c r="I1065" t="s">
        <v>187</v>
      </c>
    </row>
    <row r="1066" spans="1:9">
      <c r="A1066" s="50">
        <v>45876</v>
      </c>
      <c r="B1066" s="51">
        <v>0.629363425925926</v>
      </c>
      <c r="C1066" t="s">
        <v>172</v>
      </c>
      <c r="D1066" t="s">
        <v>195</v>
      </c>
      <c r="E1066" t="s">
        <v>173</v>
      </c>
      <c r="F1066" t="s">
        <v>264</v>
      </c>
      <c r="G1066">
        <v>734831</v>
      </c>
      <c r="H1066" t="s">
        <v>170</v>
      </c>
      <c r="I1066" t="s">
        <v>175</v>
      </c>
    </row>
    <row r="1067" spans="1:9">
      <c r="A1067" s="50">
        <v>45876</v>
      </c>
      <c r="B1067" s="51">
        <v>0.629363425925926</v>
      </c>
      <c r="C1067" t="s">
        <v>172</v>
      </c>
      <c r="D1067" t="s">
        <v>195</v>
      </c>
      <c r="E1067" t="s">
        <v>173</v>
      </c>
      <c r="F1067" t="s">
        <v>264</v>
      </c>
      <c r="G1067">
        <v>-850000</v>
      </c>
      <c r="H1067" t="s">
        <v>170</v>
      </c>
      <c r="I1067" t="s">
        <v>175</v>
      </c>
    </row>
    <row r="1068" spans="1:9">
      <c r="A1068" s="50">
        <v>45876</v>
      </c>
      <c r="B1068" s="51">
        <v>0.629363425925926</v>
      </c>
      <c r="C1068" t="s">
        <v>172</v>
      </c>
      <c r="D1068" t="s">
        <v>195</v>
      </c>
      <c r="E1068" t="s">
        <v>173</v>
      </c>
      <c r="F1068" t="s">
        <v>7</v>
      </c>
      <c r="G1068">
        <v>850000</v>
      </c>
      <c r="H1068" t="s">
        <v>170</v>
      </c>
      <c r="I1068" t="s">
        <v>59</v>
      </c>
    </row>
    <row r="1069" spans="1:9">
      <c r="A1069" s="50">
        <v>45876</v>
      </c>
      <c r="B1069" s="51">
        <v>0.6220138888888889</v>
      </c>
      <c r="C1069" t="s">
        <v>167</v>
      </c>
      <c r="D1069" t="s">
        <v>42</v>
      </c>
      <c r="E1069" t="s">
        <v>235</v>
      </c>
      <c r="F1069" t="s">
        <v>242</v>
      </c>
      <c r="G1069">
        <v>-27990</v>
      </c>
      <c r="H1069" t="s">
        <v>170</v>
      </c>
      <c r="I1069" t="s">
        <v>243</v>
      </c>
    </row>
    <row r="1070" spans="1:9">
      <c r="A1070" s="50">
        <v>45876</v>
      </c>
      <c r="B1070" s="51">
        <v>0.4979282407407408</v>
      </c>
      <c r="C1070" t="s">
        <v>167</v>
      </c>
      <c r="D1070" t="s">
        <v>46</v>
      </c>
      <c r="E1070" t="s">
        <v>168</v>
      </c>
      <c r="F1070" t="s">
        <v>418</v>
      </c>
      <c r="G1070">
        <v>-4600</v>
      </c>
      <c r="H1070" t="s">
        <v>170</v>
      </c>
      <c r="I1070" t="s">
        <v>171</v>
      </c>
    </row>
    <row r="1071" spans="1:9">
      <c r="A1071" s="50">
        <v>45874</v>
      </c>
      <c r="B1071" s="51">
        <v>0.9016319444444445</v>
      </c>
      <c r="C1071" t="s">
        <v>167</v>
      </c>
      <c r="D1071" t="s">
        <v>42</v>
      </c>
      <c r="E1071" t="s">
        <v>235</v>
      </c>
      <c r="F1071" t="s">
        <v>247</v>
      </c>
      <c r="G1071">
        <v>-430210</v>
      </c>
      <c r="H1071" t="s">
        <v>170</v>
      </c>
      <c r="I1071" t="s">
        <v>237</v>
      </c>
    </row>
    <row r="1072" spans="1:9">
      <c r="A1072" s="50">
        <v>45874</v>
      </c>
      <c r="B1072" s="51">
        <v>0.8674884259259259</v>
      </c>
      <c r="C1072" t="s">
        <v>167</v>
      </c>
      <c r="D1072" t="s">
        <v>42</v>
      </c>
      <c r="E1072" t="s">
        <v>188</v>
      </c>
      <c r="F1072" t="s">
        <v>231</v>
      </c>
      <c r="G1072">
        <v>-14900</v>
      </c>
      <c r="H1072" t="s">
        <v>170</v>
      </c>
      <c r="I1072" t="s">
        <v>187</v>
      </c>
    </row>
    <row r="1073" spans="1:9">
      <c r="A1073" s="50">
        <v>45874</v>
      </c>
      <c r="B1073" s="51">
        <v>0.4653935185185185</v>
      </c>
      <c r="C1073" t="s">
        <v>167</v>
      </c>
      <c r="D1073" t="s">
        <v>46</v>
      </c>
      <c r="E1073" t="s">
        <v>168</v>
      </c>
      <c r="F1073" t="s">
        <v>418</v>
      </c>
      <c r="G1073">
        <v>-4100</v>
      </c>
      <c r="H1073" t="s">
        <v>170</v>
      </c>
      <c r="I1073" t="s">
        <v>171</v>
      </c>
    </row>
    <row r="1074" spans="1:9">
      <c r="A1074" s="50">
        <v>45874</v>
      </c>
      <c r="B1074" s="51">
        <v>0.4471643518518518</v>
      </c>
      <c r="C1074" t="s">
        <v>167</v>
      </c>
      <c r="D1074" t="s">
        <v>42</v>
      </c>
      <c r="E1074" t="s">
        <v>188</v>
      </c>
      <c r="F1074" t="s">
        <v>320</v>
      </c>
      <c r="G1074">
        <v>-7890</v>
      </c>
      <c r="H1074" t="s">
        <v>170</v>
      </c>
      <c r="I1074" t="s">
        <v>243</v>
      </c>
    </row>
    <row r="1075" spans="1:9">
      <c r="A1075" s="50">
        <v>45873</v>
      </c>
      <c r="B1075" s="51">
        <v>0.8230324074074075</v>
      </c>
      <c r="C1075" t="s">
        <v>167</v>
      </c>
      <c r="D1075" t="s">
        <v>33</v>
      </c>
      <c r="E1075" t="s">
        <v>385</v>
      </c>
      <c r="F1075" t="s">
        <v>386</v>
      </c>
      <c r="G1075">
        <v>-59800</v>
      </c>
      <c r="H1075" t="s">
        <v>170</v>
      </c>
      <c r="I1075" t="s">
        <v>237</v>
      </c>
    </row>
    <row r="1076" spans="1:9">
      <c r="A1076" s="50">
        <v>45873</v>
      </c>
      <c r="B1076" s="51">
        <v>0.8219212962962963</v>
      </c>
      <c r="C1076" t="s">
        <v>167</v>
      </c>
      <c r="D1076" t="s">
        <v>33</v>
      </c>
      <c r="E1076" t="s">
        <v>385</v>
      </c>
      <c r="F1076" t="s">
        <v>386</v>
      </c>
      <c r="G1076">
        <v>59800</v>
      </c>
      <c r="H1076" t="s">
        <v>170</v>
      </c>
      <c r="I1076" t="s">
        <v>237</v>
      </c>
    </row>
    <row r="1077" spans="1:9">
      <c r="A1077" s="50">
        <v>45873</v>
      </c>
      <c r="B1077" s="51">
        <v>0.8164236111111111</v>
      </c>
      <c r="C1077" t="s">
        <v>167</v>
      </c>
      <c r="D1077" t="s">
        <v>33</v>
      </c>
      <c r="E1077" t="s">
        <v>385</v>
      </c>
      <c r="F1077" t="s">
        <v>386</v>
      </c>
      <c r="G1077">
        <v>60200</v>
      </c>
      <c r="H1077" t="s">
        <v>170</v>
      </c>
      <c r="I1077" t="s">
        <v>237</v>
      </c>
    </row>
    <row r="1078" spans="1:9">
      <c r="A1078" s="50">
        <v>45873</v>
      </c>
      <c r="B1078" s="51">
        <v>0.8143634259259259</v>
      </c>
      <c r="C1078" t="s">
        <v>167</v>
      </c>
      <c r="D1078" t="s">
        <v>33</v>
      </c>
      <c r="E1078" t="s">
        <v>385</v>
      </c>
      <c r="F1078" t="s">
        <v>386</v>
      </c>
      <c r="G1078">
        <v>-59800</v>
      </c>
      <c r="H1078" t="s">
        <v>170</v>
      </c>
      <c r="I1078" t="s">
        <v>237</v>
      </c>
    </row>
    <row r="1079" spans="1:9">
      <c r="A1079" s="50">
        <v>45873</v>
      </c>
      <c r="B1079" s="51">
        <v>0.6485648148148148</v>
      </c>
      <c r="C1079" t="s">
        <v>167</v>
      </c>
      <c r="D1079" t="s">
        <v>33</v>
      </c>
      <c r="E1079" t="s">
        <v>385</v>
      </c>
      <c r="F1079" t="s">
        <v>386</v>
      </c>
      <c r="G1079">
        <v>-60200</v>
      </c>
      <c r="H1079" t="s">
        <v>170</v>
      </c>
      <c r="I1079" t="s">
        <v>237</v>
      </c>
    </row>
    <row r="1080" spans="1:9">
      <c r="A1080" s="50">
        <v>45873</v>
      </c>
      <c r="B1080" s="51">
        <v>0.4802430555555556</v>
      </c>
      <c r="C1080" t="s">
        <v>167</v>
      </c>
      <c r="D1080" t="s">
        <v>46</v>
      </c>
      <c r="E1080" t="s">
        <v>168</v>
      </c>
      <c r="F1080" t="s">
        <v>418</v>
      </c>
      <c r="G1080">
        <v>-2300</v>
      </c>
      <c r="H1080" t="s">
        <v>170</v>
      </c>
      <c r="I1080" t="s">
        <v>171</v>
      </c>
    </row>
    <row r="1081" spans="1:9">
      <c r="A1081" s="50">
        <v>45873</v>
      </c>
      <c r="B1081" s="51">
        <v>0.4327314814814815</v>
      </c>
      <c r="C1081" t="s">
        <v>167</v>
      </c>
      <c r="D1081" t="s">
        <v>35</v>
      </c>
      <c r="E1081" t="s">
        <v>360</v>
      </c>
      <c r="F1081" t="s">
        <v>252</v>
      </c>
      <c r="G1081">
        <v>-9900</v>
      </c>
      <c r="H1081" t="s">
        <v>170</v>
      </c>
      <c r="I1081" t="s">
        <v>253</v>
      </c>
    </row>
    <row r="1082" spans="1:9">
      <c r="A1082" s="50">
        <v>45873</v>
      </c>
      <c r="B1082" s="51">
        <v>0.1079398148148148</v>
      </c>
      <c r="C1082" t="s">
        <v>167</v>
      </c>
      <c r="D1082" t="s">
        <v>42</v>
      </c>
      <c r="E1082" t="s">
        <v>188</v>
      </c>
      <c r="F1082" t="s">
        <v>252</v>
      </c>
      <c r="G1082">
        <v>-13500</v>
      </c>
      <c r="H1082" t="s">
        <v>170</v>
      </c>
      <c r="I1082" t="s">
        <v>253</v>
      </c>
    </row>
    <row r="1083" spans="1:9">
      <c r="A1083" s="50">
        <v>45872</v>
      </c>
      <c r="B1083" s="51">
        <v>0.5646064814814815</v>
      </c>
      <c r="C1083" t="s">
        <v>167</v>
      </c>
      <c r="D1083" t="s">
        <v>42</v>
      </c>
      <c r="E1083" t="s">
        <v>338</v>
      </c>
      <c r="F1083" t="s">
        <v>339</v>
      </c>
      <c r="G1083">
        <v>-12500</v>
      </c>
      <c r="H1083" t="s">
        <v>170</v>
      </c>
      <c r="I1083" t="s">
        <v>187</v>
      </c>
    </row>
    <row r="1084" spans="1:9">
      <c r="A1084" s="50">
        <v>45872</v>
      </c>
      <c r="B1084" s="51">
        <v>0.5357407407407407</v>
      </c>
      <c r="C1084" t="s">
        <v>167</v>
      </c>
      <c r="D1084" t="s">
        <v>35</v>
      </c>
      <c r="E1084" t="s">
        <v>360</v>
      </c>
      <c r="F1084" t="s">
        <v>446</v>
      </c>
      <c r="G1084">
        <v>-5881</v>
      </c>
      <c r="H1084" t="s">
        <v>170</v>
      </c>
      <c r="I1084" t="s">
        <v>253</v>
      </c>
    </row>
    <row r="1085" spans="1:9">
      <c r="A1085" s="50">
        <v>45872</v>
      </c>
      <c r="B1085" s="51">
        <v>0.4426851851851852</v>
      </c>
      <c r="C1085" t="s">
        <v>167</v>
      </c>
      <c r="D1085" t="s">
        <v>42</v>
      </c>
      <c r="E1085" t="s">
        <v>235</v>
      </c>
      <c r="F1085" t="s">
        <v>353</v>
      </c>
      <c r="G1085">
        <v>-101700</v>
      </c>
      <c r="H1085" t="s">
        <v>170</v>
      </c>
      <c r="I1085" t="s">
        <v>187</v>
      </c>
    </row>
    <row r="1086" spans="1:9">
      <c r="A1086" s="50">
        <v>45872</v>
      </c>
      <c r="B1086" s="51">
        <v>0.05103009259259259</v>
      </c>
      <c r="C1086" t="s">
        <v>167</v>
      </c>
      <c r="D1086" t="s">
        <v>42</v>
      </c>
      <c r="E1086" t="s">
        <v>188</v>
      </c>
      <c r="F1086" t="s">
        <v>256</v>
      </c>
      <c r="G1086">
        <v>-2990</v>
      </c>
      <c r="H1086" t="s">
        <v>170</v>
      </c>
      <c r="I1086" t="s">
        <v>237</v>
      </c>
    </row>
    <row r="1087" spans="1:9">
      <c r="A1087" s="50">
        <v>45871</v>
      </c>
      <c r="B1087" s="51">
        <v>0.7176041666666667</v>
      </c>
      <c r="C1087" t="s">
        <v>167</v>
      </c>
      <c r="D1087" t="s">
        <v>40</v>
      </c>
      <c r="E1087" t="s">
        <v>261</v>
      </c>
      <c r="F1087" t="s">
        <v>262</v>
      </c>
      <c r="G1087">
        <v>-22200</v>
      </c>
      <c r="H1087" t="s">
        <v>170</v>
      </c>
      <c r="I1087" t="s">
        <v>243</v>
      </c>
    </row>
    <row r="1088" spans="1:9">
      <c r="A1088" s="50">
        <v>45871</v>
      </c>
      <c r="B1088" s="51">
        <v>0.6960648148148149</v>
      </c>
      <c r="C1088" t="s">
        <v>167</v>
      </c>
      <c r="D1088" t="s">
        <v>46</v>
      </c>
      <c r="E1088" t="s">
        <v>168</v>
      </c>
      <c r="F1088" t="s">
        <v>502</v>
      </c>
      <c r="G1088">
        <v>-6000</v>
      </c>
      <c r="H1088" t="s">
        <v>170</v>
      </c>
      <c r="I1088" t="s">
        <v>243</v>
      </c>
    </row>
    <row r="1089" spans="1:9">
      <c r="A1089" s="50">
        <v>45871</v>
      </c>
      <c r="B1089" s="51">
        <v>0.6862615740740741</v>
      </c>
      <c r="C1089" t="s">
        <v>167</v>
      </c>
      <c r="D1089" t="s">
        <v>47</v>
      </c>
      <c r="E1089" t="s">
        <v>183</v>
      </c>
      <c r="F1089" t="s">
        <v>598</v>
      </c>
      <c r="G1089">
        <v>-21700</v>
      </c>
      <c r="H1089" t="s">
        <v>170</v>
      </c>
      <c r="I1089" t="s">
        <v>243</v>
      </c>
    </row>
    <row r="1090" spans="1:9">
      <c r="A1090" s="50">
        <v>45870</v>
      </c>
      <c r="B1090" s="51">
        <v>0.9535763888888888</v>
      </c>
      <c r="C1090" t="s">
        <v>167</v>
      </c>
      <c r="D1090" t="s">
        <v>38</v>
      </c>
      <c r="E1090" t="s">
        <v>181</v>
      </c>
      <c r="F1090" t="s">
        <v>192</v>
      </c>
      <c r="G1090">
        <v>-1500</v>
      </c>
      <c r="H1090" t="s">
        <v>170</v>
      </c>
      <c r="I1090" t="s">
        <v>171</v>
      </c>
    </row>
    <row r="1091" spans="1:9">
      <c r="A1091" s="50">
        <v>45870</v>
      </c>
      <c r="B1091" s="51">
        <v>0.8402662037037038</v>
      </c>
      <c r="C1091" t="s">
        <v>167</v>
      </c>
      <c r="D1091" t="s">
        <v>42</v>
      </c>
      <c r="E1091" t="s">
        <v>217</v>
      </c>
      <c r="F1091" t="s">
        <v>599</v>
      </c>
      <c r="G1091">
        <v>-99400</v>
      </c>
      <c r="H1091" t="s">
        <v>170</v>
      </c>
      <c r="I1091" t="s">
        <v>237</v>
      </c>
    </row>
    <row r="1092" spans="1:9">
      <c r="A1092" s="50">
        <v>45870</v>
      </c>
      <c r="B1092" s="51">
        <v>0.5691087962962963</v>
      </c>
      <c r="C1092" t="s">
        <v>167</v>
      </c>
      <c r="D1092" t="s">
        <v>46</v>
      </c>
      <c r="E1092" t="s">
        <v>168</v>
      </c>
      <c r="F1092" t="s">
        <v>418</v>
      </c>
      <c r="G1092">
        <v>-1800</v>
      </c>
      <c r="H1092" t="s">
        <v>170</v>
      </c>
      <c r="I1092" t="s">
        <v>171</v>
      </c>
    </row>
    <row r="1093" spans="1:9">
      <c r="A1093" s="50">
        <v>45870</v>
      </c>
      <c r="B1093" s="51">
        <v>0.3620486111111111</v>
      </c>
      <c r="C1093" t="s">
        <v>172</v>
      </c>
      <c r="D1093" t="s">
        <v>172</v>
      </c>
      <c r="E1093" t="s">
        <v>173</v>
      </c>
      <c r="F1093" t="s">
        <v>174</v>
      </c>
      <c r="G1093">
        <v>-20000</v>
      </c>
      <c r="H1093" t="s">
        <v>170</v>
      </c>
      <c r="I1093" t="s">
        <v>175</v>
      </c>
    </row>
    <row r="1094" spans="1:9">
      <c r="A1094" s="50">
        <v>45869</v>
      </c>
      <c r="B1094" s="51">
        <v>0.7947800925925926</v>
      </c>
      <c r="C1094" t="s">
        <v>172</v>
      </c>
      <c r="D1094" t="s">
        <v>172</v>
      </c>
      <c r="E1094" t="s">
        <v>173</v>
      </c>
      <c r="F1094" t="s">
        <v>600</v>
      </c>
      <c r="G1094">
        <v>64560</v>
      </c>
      <c r="H1094" t="s">
        <v>170</v>
      </c>
      <c r="I1094" t="s">
        <v>175</v>
      </c>
    </row>
    <row r="1095" spans="1:9">
      <c r="A1095" s="50">
        <v>45869</v>
      </c>
      <c r="B1095" s="51">
        <v>0.7709837962962963</v>
      </c>
      <c r="C1095" t="s">
        <v>172</v>
      </c>
      <c r="D1095" t="s">
        <v>172</v>
      </c>
      <c r="E1095" t="s">
        <v>173</v>
      </c>
      <c r="F1095" t="s">
        <v>601</v>
      </c>
      <c r="G1095">
        <v>64560</v>
      </c>
      <c r="H1095" t="s">
        <v>170</v>
      </c>
      <c r="I1095" t="s">
        <v>175</v>
      </c>
    </row>
    <row r="1096" spans="1:9">
      <c r="A1096" s="50">
        <v>45869</v>
      </c>
      <c r="B1096" s="51">
        <v>0.7708101851851852</v>
      </c>
      <c r="C1096" t="s">
        <v>167</v>
      </c>
      <c r="D1096" t="s">
        <v>34</v>
      </c>
      <c r="E1096" t="s">
        <v>208</v>
      </c>
      <c r="F1096" t="s">
        <v>263</v>
      </c>
      <c r="G1096">
        <v>-28220</v>
      </c>
      <c r="H1096" t="s">
        <v>170</v>
      </c>
      <c r="I1096" t="s">
        <v>175</v>
      </c>
    </row>
    <row r="1097" spans="1:9">
      <c r="A1097" s="50">
        <v>45869</v>
      </c>
      <c r="B1097" s="51">
        <v>0.770625</v>
      </c>
      <c r="C1097" t="s">
        <v>167</v>
      </c>
      <c r="D1097" t="s">
        <v>34</v>
      </c>
      <c r="E1097" t="s">
        <v>208</v>
      </c>
      <c r="F1097" t="s">
        <v>263</v>
      </c>
      <c r="G1097">
        <v>-33630</v>
      </c>
      <c r="H1097" t="s">
        <v>170</v>
      </c>
      <c r="I1097" t="s">
        <v>175</v>
      </c>
    </row>
    <row r="1098" spans="1:9">
      <c r="A1098" s="50">
        <v>45869</v>
      </c>
      <c r="B1098" s="51">
        <v>0.7703819444444444</v>
      </c>
      <c r="C1098" t="s">
        <v>167</v>
      </c>
      <c r="D1098" t="s">
        <v>34</v>
      </c>
      <c r="E1098" t="s">
        <v>208</v>
      </c>
      <c r="F1098" t="s">
        <v>263</v>
      </c>
      <c r="G1098">
        <v>-33630</v>
      </c>
      <c r="H1098" t="s">
        <v>170</v>
      </c>
      <c r="I1098" t="s">
        <v>175</v>
      </c>
    </row>
    <row r="1099" spans="1:9">
      <c r="A1099" s="50">
        <v>45869</v>
      </c>
      <c r="B1099" s="51">
        <v>0</v>
      </c>
      <c r="C1099" t="s">
        <v>167</v>
      </c>
      <c r="D1099" t="s">
        <v>34</v>
      </c>
      <c r="E1099" t="s">
        <v>206</v>
      </c>
      <c r="F1099" t="s">
        <v>602</v>
      </c>
      <c r="G1099">
        <v>-200</v>
      </c>
      <c r="H1099" t="s">
        <v>170</v>
      </c>
      <c r="I1099" t="s">
        <v>187</v>
      </c>
    </row>
    <row r="1100" spans="1:9">
      <c r="A1100" s="50">
        <v>45868</v>
      </c>
      <c r="B1100" s="51">
        <v>0.4991550925925926</v>
      </c>
      <c r="C1100" t="s">
        <v>167</v>
      </c>
      <c r="D1100" t="s">
        <v>46</v>
      </c>
      <c r="E1100" t="s">
        <v>168</v>
      </c>
      <c r="F1100" t="s">
        <v>418</v>
      </c>
      <c r="G1100">
        <v>-2300</v>
      </c>
      <c r="H1100" t="s">
        <v>170</v>
      </c>
      <c r="I1100" t="s">
        <v>171</v>
      </c>
    </row>
    <row r="1101" spans="1:9">
      <c r="A1101" s="50">
        <v>45866</v>
      </c>
      <c r="B1101" s="51">
        <v>0.7691319444444444</v>
      </c>
      <c r="C1101" t="s">
        <v>167</v>
      </c>
      <c r="D1101" t="s">
        <v>34</v>
      </c>
      <c r="E1101" t="s">
        <v>208</v>
      </c>
      <c r="F1101" t="s">
        <v>263</v>
      </c>
      <c r="G1101">
        <v>-5410</v>
      </c>
      <c r="H1101" t="s">
        <v>170</v>
      </c>
      <c r="I1101" t="s">
        <v>175</v>
      </c>
    </row>
    <row r="1102" spans="1:9">
      <c r="A1102" s="50">
        <v>45866</v>
      </c>
      <c r="B1102" s="51">
        <v>0.7683912037037037</v>
      </c>
      <c r="C1102" t="s">
        <v>172</v>
      </c>
      <c r="D1102" t="s">
        <v>172</v>
      </c>
      <c r="E1102" t="s">
        <v>173</v>
      </c>
      <c r="F1102" t="s">
        <v>603</v>
      </c>
      <c r="G1102">
        <v>98190</v>
      </c>
      <c r="H1102" t="s">
        <v>170</v>
      </c>
      <c r="I1102" t="s">
        <v>175</v>
      </c>
    </row>
    <row r="1103" spans="1:9">
      <c r="A1103" s="50">
        <v>45866</v>
      </c>
      <c r="B1103" s="51">
        <v>0.3814583333333333</v>
      </c>
      <c r="C1103" t="s">
        <v>172</v>
      </c>
      <c r="D1103" t="s">
        <v>172</v>
      </c>
      <c r="E1103" t="s">
        <v>173</v>
      </c>
      <c r="F1103" t="s">
        <v>604</v>
      </c>
      <c r="G1103">
        <v>-150000</v>
      </c>
      <c r="H1103" t="s">
        <v>170</v>
      </c>
      <c r="I1103" t="s">
        <v>59</v>
      </c>
    </row>
    <row r="1104" spans="1:9">
      <c r="A1104" s="50">
        <v>45866</v>
      </c>
      <c r="B1104" s="51">
        <v>0.3809722222222222</v>
      </c>
      <c r="C1104" t="s">
        <v>172</v>
      </c>
      <c r="D1104" t="s">
        <v>195</v>
      </c>
      <c r="E1104" t="s">
        <v>173</v>
      </c>
      <c r="F1104" t="s">
        <v>264</v>
      </c>
      <c r="G1104">
        <v>-100000</v>
      </c>
      <c r="H1104" t="s">
        <v>170</v>
      </c>
      <c r="I1104" t="s">
        <v>175</v>
      </c>
    </row>
    <row r="1105" spans="1:9">
      <c r="A1105" s="50">
        <v>45866</v>
      </c>
      <c r="B1105" s="51">
        <v>0.3809722222222222</v>
      </c>
      <c r="C1105" t="s">
        <v>172</v>
      </c>
      <c r="D1105" t="s">
        <v>195</v>
      </c>
      <c r="E1105" t="s">
        <v>173</v>
      </c>
      <c r="F1105" t="s">
        <v>7</v>
      </c>
      <c r="G1105">
        <v>100000</v>
      </c>
      <c r="H1105" t="s">
        <v>170</v>
      </c>
      <c r="I1105" t="s">
        <v>59</v>
      </c>
    </row>
    <row r="1106" spans="1:9">
      <c r="A1106" s="50">
        <v>45866</v>
      </c>
      <c r="B1106" s="51">
        <v>0.1280902777777778</v>
      </c>
      <c r="C1106" t="s">
        <v>167</v>
      </c>
      <c r="D1106" t="s">
        <v>45</v>
      </c>
      <c r="E1106" t="s">
        <v>185</v>
      </c>
      <c r="F1106" t="s">
        <v>569</v>
      </c>
      <c r="G1106">
        <v>-86300</v>
      </c>
      <c r="H1106" t="s">
        <v>170</v>
      </c>
      <c r="I1106" t="s">
        <v>61</v>
      </c>
    </row>
    <row r="1107" spans="1:9">
      <c r="A1107" s="50">
        <v>45866</v>
      </c>
      <c r="B1107" s="51">
        <v>0</v>
      </c>
      <c r="C1107" t="s">
        <v>167</v>
      </c>
      <c r="D1107" t="s">
        <v>33</v>
      </c>
      <c r="E1107" t="s">
        <v>385</v>
      </c>
      <c r="F1107" t="s">
        <v>386</v>
      </c>
      <c r="G1107">
        <v>59400</v>
      </c>
      <c r="H1107" t="s">
        <v>170</v>
      </c>
      <c r="I1107" t="s">
        <v>237</v>
      </c>
    </row>
    <row r="1108" spans="1:9">
      <c r="A1108" s="50">
        <v>45865</v>
      </c>
      <c r="B1108" s="51">
        <v>0.4585416666666667</v>
      </c>
      <c r="C1108" t="s">
        <v>167</v>
      </c>
      <c r="D1108" t="s">
        <v>46</v>
      </c>
      <c r="E1108" t="s">
        <v>168</v>
      </c>
      <c r="F1108" t="s">
        <v>605</v>
      </c>
      <c r="G1108">
        <v>-32500</v>
      </c>
      <c r="H1108" t="s">
        <v>170</v>
      </c>
      <c r="I1108" t="s">
        <v>171</v>
      </c>
    </row>
    <row r="1109" spans="1:9">
      <c r="A1109" s="50">
        <v>45865</v>
      </c>
      <c r="B1109" s="51">
        <v>0.450787037037037</v>
      </c>
      <c r="C1109" t="s">
        <v>167</v>
      </c>
      <c r="D1109" t="s">
        <v>40</v>
      </c>
      <c r="E1109" t="s">
        <v>176</v>
      </c>
      <c r="F1109" t="s">
        <v>606</v>
      </c>
      <c r="G1109">
        <v>-81000</v>
      </c>
      <c r="H1109" t="s">
        <v>170</v>
      </c>
      <c r="I1109" t="s">
        <v>171</v>
      </c>
    </row>
    <row r="1110" spans="1:9">
      <c r="A1110" s="50">
        <v>45865</v>
      </c>
      <c r="B1110" s="51">
        <v>0.27</v>
      </c>
      <c r="C1110" t="s">
        <v>167</v>
      </c>
      <c r="D1110" t="s">
        <v>33</v>
      </c>
      <c r="E1110" t="s">
        <v>282</v>
      </c>
      <c r="F1110" t="s">
        <v>607</v>
      </c>
      <c r="G1110">
        <v>-20100</v>
      </c>
      <c r="H1110" t="s">
        <v>170</v>
      </c>
      <c r="I1110" t="s">
        <v>243</v>
      </c>
    </row>
    <row r="1111" spans="1:9">
      <c r="A1111" s="50">
        <v>45864</v>
      </c>
      <c r="B1111" s="51">
        <v>0.8926273148148148</v>
      </c>
      <c r="C1111" t="s">
        <v>167</v>
      </c>
      <c r="D1111" t="s">
        <v>39</v>
      </c>
      <c r="E1111" t="s">
        <v>608</v>
      </c>
      <c r="F1111" t="s">
        <v>609</v>
      </c>
      <c r="G1111">
        <v>-32500</v>
      </c>
      <c r="H1111" t="s">
        <v>170</v>
      </c>
      <c r="I1111" t="s">
        <v>171</v>
      </c>
    </row>
    <row r="1112" spans="1:9">
      <c r="A1112" s="50">
        <v>45864</v>
      </c>
      <c r="B1112" s="51">
        <v>0.8889236111111111</v>
      </c>
      <c r="C1112" t="s">
        <v>167</v>
      </c>
      <c r="D1112" t="s">
        <v>39</v>
      </c>
      <c r="E1112" t="s">
        <v>610</v>
      </c>
      <c r="F1112" t="s">
        <v>611</v>
      </c>
      <c r="G1112">
        <v>-130000</v>
      </c>
      <c r="H1112" t="s">
        <v>170</v>
      </c>
      <c r="I1112" t="s">
        <v>171</v>
      </c>
    </row>
    <row r="1113" spans="1:9">
      <c r="A1113" s="50">
        <v>45864</v>
      </c>
      <c r="B1113" s="51">
        <v>0.6980787037037037</v>
      </c>
      <c r="C1113" t="s">
        <v>167</v>
      </c>
      <c r="D1113" t="s">
        <v>44</v>
      </c>
      <c r="E1113" t="s">
        <v>543</v>
      </c>
      <c r="F1113" t="s">
        <v>544</v>
      </c>
      <c r="G1113">
        <v>-5000</v>
      </c>
      <c r="H1113" t="s">
        <v>170</v>
      </c>
      <c r="I1113" t="s">
        <v>171</v>
      </c>
    </row>
    <row r="1114" spans="1:9">
      <c r="A1114" s="50">
        <v>45864</v>
      </c>
      <c r="B1114" s="51">
        <v>0.6908564814814815</v>
      </c>
      <c r="C1114" t="s">
        <v>167</v>
      </c>
      <c r="D1114" t="s">
        <v>38</v>
      </c>
      <c r="E1114" t="s">
        <v>259</v>
      </c>
      <c r="F1114" t="s">
        <v>612</v>
      </c>
      <c r="G1114">
        <v>-110270</v>
      </c>
      <c r="H1114" t="s">
        <v>170</v>
      </c>
      <c r="I1114" t="s">
        <v>171</v>
      </c>
    </row>
    <row r="1115" spans="1:9">
      <c r="A1115" s="50">
        <v>45864</v>
      </c>
      <c r="B1115" s="51">
        <v>0.6286689814814815</v>
      </c>
      <c r="C1115" t="s">
        <v>167</v>
      </c>
      <c r="D1115" t="s">
        <v>42</v>
      </c>
      <c r="E1115" t="s">
        <v>338</v>
      </c>
      <c r="F1115" t="s">
        <v>339</v>
      </c>
      <c r="G1115">
        <v>-6600</v>
      </c>
      <c r="H1115" t="s">
        <v>170</v>
      </c>
      <c r="I1115" t="s">
        <v>187</v>
      </c>
    </row>
    <row r="1116" spans="1:9">
      <c r="A1116" s="50">
        <v>45864</v>
      </c>
      <c r="B1116" s="51">
        <v>0.5087268518518518</v>
      </c>
      <c r="C1116" t="s">
        <v>167</v>
      </c>
      <c r="D1116" t="s">
        <v>40</v>
      </c>
      <c r="E1116" t="s">
        <v>176</v>
      </c>
      <c r="F1116" t="s">
        <v>613</v>
      </c>
      <c r="G1116">
        <v>-13500</v>
      </c>
      <c r="H1116" t="s">
        <v>170</v>
      </c>
      <c r="I1116" t="s">
        <v>171</v>
      </c>
    </row>
    <row r="1117" spans="1:9">
      <c r="A1117" s="50">
        <v>45864</v>
      </c>
      <c r="B1117" s="51">
        <v>0.2440509259259259</v>
      </c>
      <c r="C1117" t="s">
        <v>233</v>
      </c>
      <c r="D1117" t="s">
        <v>28</v>
      </c>
      <c r="E1117" t="s">
        <v>173</v>
      </c>
      <c r="F1117" t="s">
        <v>278</v>
      </c>
      <c r="G1117">
        <v>10</v>
      </c>
      <c r="H1117" t="s">
        <v>170</v>
      </c>
      <c r="I1117" t="s">
        <v>60</v>
      </c>
    </row>
    <row r="1118" spans="1:9">
      <c r="A1118" s="50">
        <v>45863</v>
      </c>
      <c r="B1118" s="51">
        <v>0.7738194444444444</v>
      </c>
      <c r="C1118" t="s">
        <v>167</v>
      </c>
      <c r="D1118" t="s">
        <v>40</v>
      </c>
      <c r="E1118" t="s">
        <v>244</v>
      </c>
      <c r="F1118" t="s">
        <v>614</v>
      </c>
      <c r="G1118">
        <v>-18500</v>
      </c>
      <c r="H1118" t="s">
        <v>170</v>
      </c>
      <c r="I1118" t="s">
        <v>243</v>
      </c>
    </row>
    <row r="1119" spans="1:9">
      <c r="A1119" s="50">
        <v>45863</v>
      </c>
      <c r="B1119" s="51">
        <v>0.7435995370370371</v>
      </c>
      <c r="C1119" t="s">
        <v>167</v>
      </c>
      <c r="D1119" t="s">
        <v>43</v>
      </c>
      <c r="E1119" t="s">
        <v>203</v>
      </c>
      <c r="F1119" t="s">
        <v>615</v>
      </c>
      <c r="G1119">
        <v>-28000</v>
      </c>
      <c r="H1119" t="s">
        <v>170</v>
      </c>
      <c r="I1119" t="s">
        <v>243</v>
      </c>
    </row>
    <row r="1120" spans="1:9">
      <c r="A1120" s="50">
        <v>45863</v>
      </c>
      <c r="B1120" s="51">
        <v>0.3371875</v>
      </c>
      <c r="C1120" t="s">
        <v>167</v>
      </c>
      <c r="D1120" t="s">
        <v>33</v>
      </c>
      <c r="E1120" t="s">
        <v>385</v>
      </c>
      <c r="F1120" t="s">
        <v>386</v>
      </c>
      <c r="G1120">
        <v>-59800</v>
      </c>
      <c r="H1120" t="s">
        <v>170</v>
      </c>
      <c r="I1120" t="s">
        <v>237</v>
      </c>
    </row>
    <row r="1121" spans="1:9">
      <c r="A1121" s="50">
        <v>45862</v>
      </c>
      <c r="B1121" s="51">
        <v>0.8359375</v>
      </c>
      <c r="C1121" t="s">
        <v>167</v>
      </c>
      <c r="D1121" t="s">
        <v>40</v>
      </c>
      <c r="E1121" t="s">
        <v>261</v>
      </c>
      <c r="F1121" t="s">
        <v>262</v>
      </c>
      <c r="G1121">
        <v>-21500</v>
      </c>
      <c r="H1121" t="s">
        <v>170</v>
      </c>
      <c r="I1121" t="s">
        <v>243</v>
      </c>
    </row>
    <row r="1122" spans="1:9">
      <c r="A1122" s="50">
        <v>45862</v>
      </c>
      <c r="B1122" s="51">
        <v>0.7693055555555556</v>
      </c>
      <c r="C1122" t="s">
        <v>167</v>
      </c>
      <c r="D1122" t="s">
        <v>45</v>
      </c>
      <c r="E1122" t="s">
        <v>185</v>
      </c>
      <c r="F1122" t="s">
        <v>186</v>
      </c>
      <c r="G1122">
        <v>-47080</v>
      </c>
      <c r="H1122" t="s">
        <v>170</v>
      </c>
      <c r="I1122" t="s">
        <v>187</v>
      </c>
    </row>
    <row r="1123" spans="1:9">
      <c r="A1123" s="50">
        <v>45862</v>
      </c>
      <c r="B1123" s="51">
        <v>0.6914236111111111</v>
      </c>
      <c r="C1123" t="s">
        <v>167</v>
      </c>
      <c r="D1123" t="s">
        <v>46</v>
      </c>
      <c r="E1123" t="s">
        <v>168</v>
      </c>
      <c r="F1123" t="s">
        <v>616</v>
      </c>
      <c r="G1123">
        <v>-1500</v>
      </c>
      <c r="H1123" t="s">
        <v>170</v>
      </c>
      <c r="I1123" t="s">
        <v>171</v>
      </c>
    </row>
    <row r="1124" spans="1:9">
      <c r="A1124" s="50">
        <v>45862</v>
      </c>
      <c r="B1124" s="51">
        <v>0.6733680555555556</v>
      </c>
      <c r="C1124" t="s">
        <v>167</v>
      </c>
      <c r="D1124" t="s">
        <v>46</v>
      </c>
      <c r="E1124" t="s">
        <v>219</v>
      </c>
      <c r="F1124" t="s">
        <v>617</v>
      </c>
      <c r="G1124">
        <v>-12400</v>
      </c>
      <c r="H1124" t="s">
        <v>170</v>
      </c>
      <c r="I1124" t="s">
        <v>171</v>
      </c>
    </row>
    <row r="1125" spans="1:9">
      <c r="A1125" s="50">
        <v>45862</v>
      </c>
      <c r="B1125" s="51">
        <v>0.6686921296296297</v>
      </c>
      <c r="C1125" t="s">
        <v>167</v>
      </c>
      <c r="D1125" t="s">
        <v>37</v>
      </c>
      <c r="E1125" t="s">
        <v>350</v>
      </c>
      <c r="F1125" t="s">
        <v>618</v>
      </c>
      <c r="G1125">
        <v>-22000</v>
      </c>
      <c r="H1125" t="s">
        <v>170</v>
      </c>
      <c r="I1125" t="s">
        <v>171</v>
      </c>
    </row>
    <row r="1126" spans="1:9">
      <c r="A1126" s="50">
        <v>45862</v>
      </c>
      <c r="B1126" s="51">
        <v>0.5131481481481481</v>
      </c>
      <c r="C1126" t="s">
        <v>167</v>
      </c>
      <c r="D1126" t="s">
        <v>40</v>
      </c>
      <c r="E1126" t="s">
        <v>176</v>
      </c>
      <c r="F1126" t="s">
        <v>594</v>
      </c>
      <c r="G1126">
        <v>-5000</v>
      </c>
      <c r="H1126" t="s">
        <v>170</v>
      </c>
      <c r="I1126" t="s">
        <v>171</v>
      </c>
    </row>
    <row r="1127" spans="1:9">
      <c r="A1127" s="50">
        <v>45862</v>
      </c>
      <c r="B1127" s="51">
        <v>0.009224537037037036</v>
      </c>
      <c r="C1127" t="s">
        <v>167</v>
      </c>
      <c r="D1127" t="s">
        <v>42</v>
      </c>
      <c r="E1127" t="s">
        <v>338</v>
      </c>
      <c r="F1127" t="s">
        <v>339</v>
      </c>
      <c r="G1127">
        <v>-29000</v>
      </c>
      <c r="H1127" t="s">
        <v>170</v>
      </c>
      <c r="I1127" t="s">
        <v>187</v>
      </c>
    </row>
    <row r="1128" spans="1:9">
      <c r="A1128" s="50">
        <v>45861</v>
      </c>
      <c r="B1128" s="51">
        <v>0.6228819444444444</v>
      </c>
      <c r="C1128" t="s">
        <v>167</v>
      </c>
      <c r="D1128" t="s">
        <v>38</v>
      </c>
      <c r="E1128" t="s">
        <v>181</v>
      </c>
      <c r="F1128" t="s">
        <v>619</v>
      </c>
      <c r="G1128">
        <v>-3600</v>
      </c>
      <c r="H1128" t="s">
        <v>170</v>
      </c>
      <c r="I1128" t="s">
        <v>171</v>
      </c>
    </row>
    <row r="1129" spans="1:9">
      <c r="A1129" s="50">
        <v>45861</v>
      </c>
      <c r="B1129" s="51">
        <v>0.6199074074074075</v>
      </c>
      <c r="C1129" t="s">
        <v>167</v>
      </c>
      <c r="D1129" t="s">
        <v>38</v>
      </c>
      <c r="E1129" t="s">
        <v>259</v>
      </c>
      <c r="F1129" t="s">
        <v>580</v>
      </c>
      <c r="G1129">
        <v>-1200</v>
      </c>
      <c r="H1129" t="s">
        <v>170</v>
      </c>
      <c r="I1129" t="s">
        <v>171</v>
      </c>
    </row>
    <row r="1130" spans="1:9">
      <c r="A1130" s="50">
        <v>45861</v>
      </c>
      <c r="B1130" s="51">
        <v>0.6163194444444444</v>
      </c>
      <c r="C1130" t="s">
        <v>167</v>
      </c>
      <c r="D1130" t="s">
        <v>46</v>
      </c>
      <c r="E1130" t="s">
        <v>168</v>
      </c>
      <c r="F1130" t="s">
        <v>620</v>
      </c>
      <c r="G1130">
        <v>-2000</v>
      </c>
      <c r="H1130" t="s">
        <v>170</v>
      </c>
      <c r="I1130" t="s">
        <v>171</v>
      </c>
    </row>
    <row r="1131" spans="1:9">
      <c r="A1131" s="50">
        <v>45860</v>
      </c>
      <c r="B1131" s="51">
        <v>0.7803819444444444</v>
      </c>
      <c r="C1131" t="s">
        <v>167</v>
      </c>
      <c r="D1131" t="s">
        <v>32</v>
      </c>
      <c r="E1131" t="s">
        <v>439</v>
      </c>
      <c r="F1131" t="s">
        <v>440</v>
      </c>
      <c r="G1131">
        <v>-2000</v>
      </c>
      <c r="H1131" t="s">
        <v>170</v>
      </c>
      <c r="I1131" t="s">
        <v>171</v>
      </c>
    </row>
    <row r="1132" spans="1:9">
      <c r="A1132" s="50">
        <v>45860</v>
      </c>
      <c r="B1132" s="51">
        <v>0.7010532407407407</v>
      </c>
      <c r="C1132" t="s">
        <v>167</v>
      </c>
      <c r="D1132" t="s">
        <v>38</v>
      </c>
      <c r="E1132" t="s">
        <v>181</v>
      </c>
      <c r="F1132" t="s">
        <v>619</v>
      </c>
      <c r="G1132">
        <v>-6800</v>
      </c>
      <c r="H1132" t="s">
        <v>170</v>
      </c>
      <c r="I1132" t="s">
        <v>171</v>
      </c>
    </row>
    <row r="1133" spans="1:9">
      <c r="A1133" s="50">
        <v>45859</v>
      </c>
      <c r="B1133" s="51">
        <v>0.8931249999999999</v>
      </c>
      <c r="C1133" t="s">
        <v>167</v>
      </c>
      <c r="D1133" t="s">
        <v>40</v>
      </c>
      <c r="E1133" t="s">
        <v>383</v>
      </c>
      <c r="F1133" t="s">
        <v>621</v>
      </c>
      <c r="G1133">
        <v>-48700</v>
      </c>
      <c r="H1133" t="s">
        <v>170</v>
      </c>
      <c r="I1133" t="s">
        <v>171</v>
      </c>
    </row>
    <row r="1134" spans="1:9">
      <c r="A1134" s="50">
        <v>45859</v>
      </c>
      <c r="B1134" s="51">
        <v>0.8385532407407408</v>
      </c>
      <c r="C1134" t="s">
        <v>167</v>
      </c>
      <c r="D1134" t="s">
        <v>38</v>
      </c>
      <c r="E1134" t="s">
        <v>259</v>
      </c>
      <c r="F1134" t="s">
        <v>585</v>
      </c>
      <c r="G1134">
        <v>-7500</v>
      </c>
      <c r="H1134" t="s">
        <v>170</v>
      </c>
      <c r="I1134" t="s">
        <v>171</v>
      </c>
    </row>
    <row r="1135" spans="1:9">
      <c r="A1135" s="50">
        <v>45859</v>
      </c>
      <c r="B1135" s="51">
        <v>0.5705439814814814</v>
      </c>
      <c r="C1135" t="s">
        <v>167</v>
      </c>
      <c r="D1135" t="s">
        <v>46</v>
      </c>
      <c r="E1135" t="s">
        <v>168</v>
      </c>
      <c r="F1135" t="s">
        <v>622</v>
      </c>
      <c r="G1135">
        <v>-1800</v>
      </c>
      <c r="H1135" t="s">
        <v>170</v>
      </c>
      <c r="I1135" t="s">
        <v>171</v>
      </c>
    </row>
    <row r="1136" spans="1:9">
      <c r="A1136" s="50">
        <v>45859</v>
      </c>
      <c r="B1136" s="51">
        <v>0.4945717592592593</v>
      </c>
      <c r="C1136" t="s">
        <v>167</v>
      </c>
      <c r="D1136" t="s">
        <v>42</v>
      </c>
      <c r="E1136" t="s">
        <v>188</v>
      </c>
      <c r="F1136" t="s">
        <v>493</v>
      </c>
      <c r="G1136">
        <v>-30912</v>
      </c>
      <c r="H1136" t="s">
        <v>170</v>
      </c>
      <c r="I1136" t="s">
        <v>187</v>
      </c>
    </row>
    <row r="1137" spans="1:9">
      <c r="A1137" s="50">
        <v>45858</v>
      </c>
      <c r="B1137" s="51">
        <v>0.7761921296296296</v>
      </c>
      <c r="C1137" t="s">
        <v>167</v>
      </c>
      <c r="D1137" t="s">
        <v>42</v>
      </c>
      <c r="E1137" t="s">
        <v>235</v>
      </c>
      <c r="F1137" t="s">
        <v>242</v>
      </c>
      <c r="G1137">
        <v>-9690</v>
      </c>
      <c r="H1137" t="s">
        <v>170</v>
      </c>
      <c r="I1137" t="s">
        <v>243</v>
      </c>
    </row>
    <row r="1138" spans="1:9">
      <c r="A1138" s="50">
        <v>45858</v>
      </c>
      <c r="B1138" s="51">
        <v>0.6964583333333333</v>
      </c>
      <c r="C1138" t="s">
        <v>167</v>
      </c>
      <c r="D1138" t="s">
        <v>46</v>
      </c>
      <c r="E1138" t="s">
        <v>168</v>
      </c>
      <c r="F1138" t="s">
        <v>623</v>
      </c>
      <c r="G1138">
        <v>-2500</v>
      </c>
      <c r="H1138" t="s">
        <v>170</v>
      </c>
      <c r="I1138" t="s">
        <v>171</v>
      </c>
    </row>
    <row r="1139" spans="1:9">
      <c r="A1139" s="50">
        <v>45858</v>
      </c>
      <c r="B1139" s="51">
        <v>0.5270370370370371</v>
      </c>
      <c r="C1139" t="s">
        <v>167</v>
      </c>
      <c r="D1139" t="s">
        <v>40</v>
      </c>
      <c r="E1139" t="s">
        <v>261</v>
      </c>
      <c r="F1139" t="s">
        <v>262</v>
      </c>
      <c r="G1139">
        <v>-27000</v>
      </c>
      <c r="H1139" t="s">
        <v>170</v>
      </c>
      <c r="I1139" t="s">
        <v>243</v>
      </c>
    </row>
    <row r="1140" spans="1:9">
      <c r="A1140" s="50">
        <v>45857</v>
      </c>
      <c r="B1140" s="51">
        <v>0.7895601851851852</v>
      </c>
      <c r="C1140" t="s">
        <v>167</v>
      </c>
      <c r="D1140" t="s">
        <v>40</v>
      </c>
      <c r="E1140" t="s">
        <v>356</v>
      </c>
      <c r="F1140" t="s">
        <v>624</v>
      </c>
      <c r="G1140">
        <v>-3660</v>
      </c>
      <c r="H1140" t="s">
        <v>170</v>
      </c>
      <c r="I1140" t="s">
        <v>171</v>
      </c>
    </row>
    <row r="1141" spans="1:9">
      <c r="A1141" s="50">
        <v>45857</v>
      </c>
      <c r="B1141" s="51">
        <v>0.7868518518518518</v>
      </c>
      <c r="C1141" t="s">
        <v>167</v>
      </c>
      <c r="D1141" t="s">
        <v>38</v>
      </c>
      <c r="E1141" t="s">
        <v>181</v>
      </c>
      <c r="F1141" t="s">
        <v>619</v>
      </c>
      <c r="G1141">
        <v>-7100</v>
      </c>
      <c r="H1141" t="s">
        <v>170</v>
      </c>
      <c r="I1141" t="s">
        <v>171</v>
      </c>
    </row>
    <row r="1142" spans="1:9">
      <c r="A1142" s="50">
        <v>45857</v>
      </c>
      <c r="B1142" s="51">
        <v>0.7304976851851852</v>
      </c>
      <c r="C1142" t="s">
        <v>167</v>
      </c>
      <c r="D1142" t="s">
        <v>40</v>
      </c>
      <c r="E1142" t="s">
        <v>261</v>
      </c>
      <c r="F1142" t="s">
        <v>262</v>
      </c>
      <c r="G1142">
        <v>-19000</v>
      </c>
      <c r="H1142" t="s">
        <v>170</v>
      </c>
      <c r="I1142" t="s">
        <v>243</v>
      </c>
    </row>
    <row r="1143" spans="1:9">
      <c r="A1143" s="50">
        <v>45857</v>
      </c>
      <c r="B1143" s="51">
        <v>0.5603819444444444</v>
      </c>
      <c r="C1143" t="s">
        <v>167</v>
      </c>
      <c r="D1143" t="s">
        <v>33</v>
      </c>
      <c r="E1143" t="s">
        <v>385</v>
      </c>
      <c r="F1143" t="s">
        <v>386</v>
      </c>
      <c r="G1143">
        <v>-59400</v>
      </c>
      <c r="H1143" t="s">
        <v>170</v>
      </c>
      <c r="I1143" t="s">
        <v>237</v>
      </c>
    </row>
    <row r="1144" spans="1:9">
      <c r="A1144" s="50">
        <v>45857</v>
      </c>
      <c r="B1144" s="51">
        <v>0.03730324074074074</v>
      </c>
      <c r="C1144" t="s">
        <v>167</v>
      </c>
      <c r="D1144" t="s">
        <v>42</v>
      </c>
      <c r="E1144" t="s">
        <v>338</v>
      </c>
      <c r="F1144" t="s">
        <v>339</v>
      </c>
      <c r="G1144">
        <v>-12000</v>
      </c>
      <c r="H1144" t="s">
        <v>170</v>
      </c>
      <c r="I1144" t="s">
        <v>187</v>
      </c>
    </row>
    <row r="1145" spans="1:9">
      <c r="A1145" s="50">
        <v>45856</v>
      </c>
      <c r="B1145" s="51">
        <v>0.5028356481481482</v>
      </c>
      <c r="C1145" t="s">
        <v>167</v>
      </c>
      <c r="D1145" t="s">
        <v>40</v>
      </c>
      <c r="E1145" t="s">
        <v>261</v>
      </c>
      <c r="F1145" t="s">
        <v>262</v>
      </c>
      <c r="G1145">
        <v>-14300</v>
      </c>
      <c r="H1145" t="s">
        <v>170</v>
      </c>
      <c r="I1145" t="s">
        <v>243</v>
      </c>
    </row>
    <row r="1146" spans="1:9">
      <c r="A1146" s="50">
        <v>45856</v>
      </c>
      <c r="B1146" s="51">
        <v>0.03681712962962963</v>
      </c>
      <c r="C1146" t="s">
        <v>167</v>
      </c>
      <c r="D1146" t="s">
        <v>35</v>
      </c>
      <c r="E1146" t="s">
        <v>197</v>
      </c>
      <c r="F1146" t="s">
        <v>198</v>
      </c>
      <c r="G1146">
        <v>-12000</v>
      </c>
      <c r="H1146" t="s">
        <v>170</v>
      </c>
      <c r="I1146" t="s">
        <v>199</v>
      </c>
    </row>
    <row r="1147" spans="1:9">
      <c r="A1147" s="50">
        <v>45855</v>
      </c>
      <c r="B1147" s="51">
        <v>0.7810648148148148</v>
      </c>
      <c r="C1147" t="s">
        <v>167</v>
      </c>
      <c r="D1147" t="s">
        <v>40</v>
      </c>
      <c r="E1147" t="s">
        <v>261</v>
      </c>
      <c r="F1147" t="s">
        <v>262</v>
      </c>
      <c r="G1147">
        <v>-34000</v>
      </c>
      <c r="H1147" t="s">
        <v>170</v>
      </c>
      <c r="I1147" t="s">
        <v>243</v>
      </c>
    </row>
    <row r="1148" spans="1:9">
      <c r="A1148" s="50">
        <v>45854</v>
      </c>
      <c r="B1148" s="51">
        <v>0.7977662037037037</v>
      </c>
      <c r="C1148" t="s">
        <v>167</v>
      </c>
      <c r="D1148" t="s">
        <v>40</v>
      </c>
      <c r="E1148" t="s">
        <v>261</v>
      </c>
      <c r="F1148" t="s">
        <v>262</v>
      </c>
      <c r="G1148">
        <v>-27500</v>
      </c>
      <c r="H1148" t="s">
        <v>170</v>
      </c>
      <c r="I1148" t="s">
        <v>243</v>
      </c>
    </row>
    <row r="1149" spans="1:9">
      <c r="A1149" s="50">
        <v>45854</v>
      </c>
      <c r="B1149" s="51">
        <v>0.6719560185185185</v>
      </c>
      <c r="C1149" t="s">
        <v>167</v>
      </c>
      <c r="D1149" t="s">
        <v>46</v>
      </c>
      <c r="E1149" t="s">
        <v>168</v>
      </c>
      <c r="F1149" t="s">
        <v>622</v>
      </c>
      <c r="G1149">
        <v>-10800</v>
      </c>
      <c r="H1149" t="s">
        <v>170</v>
      </c>
      <c r="I1149" t="s">
        <v>171</v>
      </c>
    </row>
    <row r="1150" spans="1:9">
      <c r="A1150" s="50">
        <v>45854</v>
      </c>
      <c r="B1150" s="51">
        <v>0.6626504629629629</v>
      </c>
      <c r="C1150" t="s">
        <v>167</v>
      </c>
      <c r="D1150" t="s">
        <v>42</v>
      </c>
      <c r="E1150" t="s">
        <v>338</v>
      </c>
      <c r="F1150" t="s">
        <v>339</v>
      </c>
      <c r="G1150">
        <v>-7700</v>
      </c>
      <c r="H1150" t="s">
        <v>170</v>
      </c>
      <c r="I1150" t="s">
        <v>187</v>
      </c>
    </row>
    <row r="1151" spans="1:9">
      <c r="A1151" s="50">
        <v>45853</v>
      </c>
      <c r="B1151" s="51">
        <v>0.9356597222222223</v>
      </c>
      <c r="C1151" t="s">
        <v>167</v>
      </c>
      <c r="D1151" t="s">
        <v>42</v>
      </c>
      <c r="E1151" t="s">
        <v>235</v>
      </c>
      <c r="F1151" t="s">
        <v>242</v>
      </c>
      <c r="G1151">
        <v>-17010</v>
      </c>
      <c r="H1151" t="s">
        <v>170</v>
      </c>
      <c r="I1151" t="s">
        <v>243</v>
      </c>
    </row>
    <row r="1152" spans="1:9">
      <c r="A1152" s="50">
        <v>45853</v>
      </c>
      <c r="B1152" s="51">
        <v>0.5673032407407408</v>
      </c>
      <c r="C1152" t="s">
        <v>167</v>
      </c>
      <c r="D1152" t="s">
        <v>46</v>
      </c>
      <c r="E1152" t="s">
        <v>168</v>
      </c>
      <c r="F1152" t="s">
        <v>622</v>
      </c>
      <c r="G1152">
        <v>-2300</v>
      </c>
      <c r="H1152" t="s">
        <v>170</v>
      </c>
      <c r="I1152" t="s">
        <v>171</v>
      </c>
    </row>
    <row r="1153" spans="1:9">
      <c r="A1153" s="50">
        <v>45853</v>
      </c>
      <c r="B1153" s="51">
        <v>0.5096527777777777</v>
      </c>
      <c r="C1153" t="s">
        <v>167</v>
      </c>
      <c r="D1153" t="s">
        <v>40</v>
      </c>
      <c r="E1153" t="s">
        <v>261</v>
      </c>
      <c r="F1153" t="s">
        <v>262</v>
      </c>
      <c r="G1153">
        <v>-19000</v>
      </c>
      <c r="H1153" t="s">
        <v>170</v>
      </c>
      <c r="I1153" t="s">
        <v>243</v>
      </c>
    </row>
    <row r="1154" spans="1:9">
      <c r="A1154" s="50">
        <v>45853</v>
      </c>
      <c r="B1154" s="51">
        <v>0.4264583333333333</v>
      </c>
      <c r="C1154" t="s">
        <v>167</v>
      </c>
      <c r="D1154" t="s">
        <v>42</v>
      </c>
      <c r="E1154" t="s">
        <v>235</v>
      </c>
      <c r="F1154" t="s">
        <v>242</v>
      </c>
      <c r="G1154">
        <v>-7900</v>
      </c>
      <c r="H1154" t="s">
        <v>170</v>
      </c>
      <c r="I1154" t="s">
        <v>243</v>
      </c>
    </row>
    <row r="1155" spans="1:9">
      <c r="A1155" s="50">
        <v>45853</v>
      </c>
      <c r="B1155" s="51">
        <v>0.1991203703703704</v>
      </c>
      <c r="C1155" t="s">
        <v>172</v>
      </c>
      <c r="D1155" t="s">
        <v>200</v>
      </c>
      <c r="E1155" t="s">
        <v>173</v>
      </c>
      <c r="F1155" t="s">
        <v>201</v>
      </c>
      <c r="G1155">
        <v>-327938</v>
      </c>
      <c r="H1155" t="s">
        <v>170</v>
      </c>
      <c r="I1155" t="s">
        <v>61</v>
      </c>
    </row>
    <row r="1156" spans="1:9">
      <c r="A1156" s="50">
        <v>45853</v>
      </c>
      <c r="B1156" s="51">
        <v>0.07718750000000001</v>
      </c>
      <c r="C1156" t="s">
        <v>167</v>
      </c>
      <c r="D1156" t="s">
        <v>42</v>
      </c>
      <c r="E1156" t="s">
        <v>338</v>
      </c>
      <c r="F1156" t="s">
        <v>339</v>
      </c>
      <c r="G1156">
        <v>-44100</v>
      </c>
      <c r="H1156" t="s">
        <v>170</v>
      </c>
      <c r="I1156" t="s">
        <v>187</v>
      </c>
    </row>
    <row r="1157" spans="1:9">
      <c r="A1157" s="50">
        <v>45852</v>
      </c>
      <c r="B1157" s="51">
        <v>0.9894328703703704</v>
      </c>
      <c r="C1157" t="s">
        <v>167</v>
      </c>
      <c r="D1157" t="s">
        <v>42</v>
      </c>
      <c r="E1157" t="s">
        <v>235</v>
      </c>
      <c r="F1157" t="s">
        <v>242</v>
      </c>
      <c r="G1157">
        <v>-126500</v>
      </c>
      <c r="H1157" t="s">
        <v>170</v>
      </c>
      <c r="I1157" t="s">
        <v>243</v>
      </c>
    </row>
    <row r="1158" spans="1:9">
      <c r="A1158" s="50">
        <v>45852</v>
      </c>
      <c r="B1158" s="51">
        <v>0.7203356481481481</v>
      </c>
      <c r="C1158" t="s">
        <v>167</v>
      </c>
      <c r="D1158" t="s">
        <v>40</v>
      </c>
      <c r="E1158" t="s">
        <v>244</v>
      </c>
      <c r="F1158" t="s">
        <v>596</v>
      </c>
      <c r="G1158">
        <v>-9200</v>
      </c>
      <c r="H1158" t="s">
        <v>170</v>
      </c>
      <c r="I1158" t="s">
        <v>171</v>
      </c>
    </row>
    <row r="1159" spans="1:9">
      <c r="A1159" s="50">
        <v>45851</v>
      </c>
      <c r="B1159" s="51">
        <v>0.8867824074074074</v>
      </c>
      <c r="C1159" t="s">
        <v>167</v>
      </c>
      <c r="D1159" t="s">
        <v>33</v>
      </c>
      <c r="E1159" t="s">
        <v>385</v>
      </c>
      <c r="F1159" t="s">
        <v>386</v>
      </c>
      <c r="G1159">
        <v>-59800</v>
      </c>
      <c r="H1159" t="s">
        <v>170</v>
      </c>
      <c r="I1159" t="s">
        <v>237</v>
      </c>
    </row>
    <row r="1160" spans="1:9">
      <c r="A1160" s="50">
        <v>45850</v>
      </c>
      <c r="B1160" s="51">
        <v>0.5617939814814815</v>
      </c>
      <c r="C1160" t="s">
        <v>167</v>
      </c>
      <c r="D1160" t="s">
        <v>46</v>
      </c>
      <c r="E1160" t="s">
        <v>168</v>
      </c>
      <c r="F1160" t="s">
        <v>625</v>
      </c>
      <c r="G1160">
        <v>-9200</v>
      </c>
      <c r="H1160" t="s">
        <v>170</v>
      </c>
      <c r="I1160" t="s">
        <v>171</v>
      </c>
    </row>
    <row r="1161" spans="1:9">
      <c r="A1161" s="50">
        <v>45849</v>
      </c>
      <c r="B1161" s="51">
        <v>0.7487152777777778</v>
      </c>
      <c r="C1161" t="s">
        <v>172</v>
      </c>
      <c r="D1161" t="s">
        <v>195</v>
      </c>
      <c r="E1161" t="s">
        <v>173</v>
      </c>
      <c r="F1161" t="s">
        <v>7</v>
      </c>
      <c r="G1161">
        <v>700000</v>
      </c>
      <c r="H1161" t="s">
        <v>170</v>
      </c>
      <c r="I1161" t="s">
        <v>67</v>
      </c>
    </row>
    <row r="1162" spans="1:9">
      <c r="A1162" s="50">
        <v>45849</v>
      </c>
      <c r="B1162" s="51">
        <v>0.7487152777777778</v>
      </c>
      <c r="C1162" t="s">
        <v>172</v>
      </c>
      <c r="D1162" t="s">
        <v>195</v>
      </c>
      <c r="E1162" t="s">
        <v>173</v>
      </c>
      <c r="F1162" t="s">
        <v>626</v>
      </c>
      <c r="G1162">
        <v>-700000</v>
      </c>
      <c r="H1162" t="s">
        <v>170</v>
      </c>
      <c r="I1162" t="s">
        <v>59</v>
      </c>
    </row>
    <row r="1163" spans="1:9">
      <c r="A1163" s="50">
        <v>45849</v>
      </c>
      <c r="B1163" s="51">
        <v>0.5474768518518518</v>
      </c>
      <c r="C1163" t="s">
        <v>167</v>
      </c>
      <c r="D1163" t="s">
        <v>40</v>
      </c>
      <c r="E1163" t="s">
        <v>176</v>
      </c>
      <c r="F1163" t="s">
        <v>627</v>
      </c>
      <c r="G1163">
        <v>-56000</v>
      </c>
      <c r="H1163" t="s">
        <v>170</v>
      </c>
      <c r="I1163" t="s">
        <v>187</v>
      </c>
    </row>
    <row r="1164" spans="1:9">
      <c r="A1164" s="50">
        <v>45849</v>
      </c>
      <c r="B1164" s="51">
        <v>0.4600347222222222</v>
      </c>
      <c r="C1164" t="s">
        <v>167</v>
      </c>
      <c r="D1164" t="s">
        <v>46</v>
      </c>
      <c r="E1164" t="s">
        <v>168</v>
      </c>
      <c r="F1164" t="s">
        <v>418</v>
      </c>
      <c r="G1164">
        <v>-1800</v>
      </c>
      <c r="H1164" t="s">
        <v>170</v>
      </c>
      <c r="I1164" t="s">
        <v>171</v>
      </c>
    </row>
    <row r="1165" spans="1:9">
      <c r="A1165" s="50">
        <v>45848</v>
      </c>
      <c r="B1165" s="51">
        <v>0.5187962962962963</v>
      </c>
      <c r="C1165" t="s">
        <v>233</v>
      </c>
      <c r="D1165" t="s">
        <v>28</v>
      </c>
      <c r="E1165" t="s">
        <v>173</v>
      </c>
      <c r="F1165" t="s">
        <v>628</v>
      </c>
      <c r="G1165">
        <v>23</v>
      </c>
      <c r="H1165" t="s">
        <v>170</v>
      </c>
      <c r="I1165" t="s">
        <v>60</v>
      </c>
    </row>
    <row r="1166" spans="1:9">
      <c r="A1166" s="50">
        <v>45848</v>
      </c>
      <c r="B1166" s="51">
        <v>0.5137384259259259</v>
      </c>
      <c r="C1166" t="s">
        <v>172</v>
      </c>
      <c r="D1166" t="s">
        <v>172</v>
      </c>
      <c r="E1166" t="s">
        <v>173</v>
      </c>
      <c r="F1166" t="s">
        <v>629</v>
      </c>
      <c r="G1166">
        <v>-9500</v>
      </c>
      <c r="H1166" t="s">
        <v>170</v>
      </c>
      <c r="I1166" t="s">
        <v>175</v>
      </c>
    </row>
    <row r="1167" spans="1:9">
      <c r="A1167" s="50">
        <v>45848</v>
      </c>
      <c r="B1167" s="51">
        <v>0.4629745370370371</v>
      </c>
      <c r="C1167" t="s">
        <v>167</v>
      </c>
      <c r="D1167" t="s">
        <v>46</v>
      </c>
      <c r="E1167" t="s">
        <v>168</v>
      </c>
      <c r="F1167" t="s">
        <v>418</v>
      </c>
      <c r="G1167">
        <v>-1800</v>
      </c>
      <c r="H1167" t="s">
        <v>170</v>
      </c>
      <c r="I1167" t="s">
        <v>171</v>
      </c>
    </row>
    <row r="1168" spans="1:9">
      <c r="A1168" s="50">
        <v>45847</v>
      </c>
      <c r="B1168" s="51">
        <v>0.6588541666666666</v>
      </c>
      <c r="C1168" t="s">
        <v>167</v>
      </c>
      <c r="D1168" t="s">
        <v>42</v>
      </c>
      <c r="E1168" t="s">
        <v>338</v>
      </c>
      <c r="F1168" t="s">
        <v>339</v>
      </c>
      <c r="G1168">
        <v>-26400</v>
      </c>
      <c r="H1168" t="s">
        <v>170</v>
      </c>
      <c r="I1168" t="s">
        <v>187</v>
      </c>
    </row>
    <row r="1169" spans="1:9">
      <c r="A1169" s="50">
        <v>45847</v>
      </c>
      <c r="B1169" s="51">
        <v>0.4672569444444444</v>
      </c>
      <c r="C1169" t="s">
        <v>167</v>
      </c>
      <c r="D1169" t="s">
        <v>46</v>
      </c>
      <c r="E1169" t="s">
        <v>168</v>
      </c>
      <c r="F1169" t="s">
        <v>418</v>
      </c>
      <c r="G1169">
        <v>-1800</v>
      </c>
      <c r="H1169" t="s">
        <v>170</v>
      </c>
      <c r="I1169" t="s">
        <v>171</v>
      </c>
    </row>
    <row r="1170" spans="1:9">
      <c r="A1170" s="50">
        <v>45846</v>
      </c>
      <c r="B1170" s="51">
        <v>0.5814467592592593</v>
      </c>
      <c r="C1170" t="s">
        <v>167</v>
      </c>
      <c r="D1170" t="s">
        <v>42</v>
      </c>
      <c r="E1170" t="s">
        <v>338</v>
      </c>
      <c r="F1170" t="s">
        <v>339</v>
      </c>
      <c r="G1170">
        <v>-28000</v>
      </c>
      <c r="H1170" t="s">
        <v>170</v>
      </c>
      <c r="I1170" t="s">
        <v>187</v>
      </c>
    </row>
    <row r="1171" spans="1:9">
      <c r="A1171" s="50">
        <v>45846</v>
      </c>
      <c r="B1171" s="51">
        <v>0.3747222222222222</v>
      </c>
      <c r="C1171" t="s">
        <v>167</v>
      </c>
      <c r="D1171" t="s">
        <v>35</v>
      </c>
      <c r="E1171" t="s">
        <v>197</v>
      </c>
      <c r="F1171" t="s">
        <v>198</v>
      </c>
      <c r="G1171">
        <v>-6000</v>
      </c>
      <c r="H1171" t="s">
        <v>170</v>
      </c>
      <c r="I1171" t="s">
        <v>199</v>
      </c>
    </row>
    <row r="1172" spans="1:9">
      <c r="A1172" s="50">
        <v>45845</v>
      </c>
      <c r="B1172" s="51">
        <v>0.8836689814814814</v>
      </c>
      <c r="C1172" t="s">
        <v>167</v>
      </c>
      <c r="D1172" t="s">
        <v>42</v>
      </c>
      <c r="E1172" t="s">
        <v>235</v>
      </c>
      <c r="F1172" t="s">
        <v>242</v>
      </c>
      <c r="G1172">
        <v>-4760</v>
      </c>
      <c r="H1172" t="s">
        <v>170</v>
      </c>
      <c r="I1172" t="s">
        <v>243</v>
      </c>
    </row>
    <row r="1173" spans="1:9">
      <c r="A1173" s="50">
        <v>45845</v>
      </c>
      <c r="B1173" s="51">
        <v>0.8742361111111111</v>
      </c>
      <c r="C1173" t="s">
        <v>172</v>
      </c>
      <c r="D1173" t="s">
        <v>172</v>
      </c>
      <c r="E1173" t="s">
        <v>173</v>
      </c>
      <c r="F1173" t="s">
        <v>377</v>
      </c>
      <c r="G1173">
        <v>30000</v>
      </c>
      <c r="H1173" t="s">
        <v>170</v>
      </c>
      <c r="I1173" t="s">
        <v>175</v>
      </c>
    </row>
    <row r="1174" spans="1:9">
      <c r="A1174" s="50">
        <v>45845</v>
      </c>
      <c r="B1174" s="51">
        <v>0.8520023148148148</v>
      </c>
      <c r="C1174" t="s">
        <v>167</v>
      </c>
      <c r="D1174" t="s">
        <v>40</v>
      </c>
      <c r="E1174" t="s">
        <v>630</v>
      </c>
      <c r="F1174" t="s">
        <v>631</v>
      </c>
      <c r="G1174">
        <v>-60300</v>
      </c>
      <c r="H1174" t="s">
        <v>170</v>
      </c>
      <c r="I1174" t="s">
        <v>171</v>
      </c>
    </row>
    <row r="1175" spans="1:9">
      <c r="A1175" s="50">
        <v>45845</v>
      </c>
      <c r="B1175" s="51">
        <v>0.5039699074074074</v>
      </c>
      <c r="C1175" t="s">
        <v>167</v>
      </c>
      <c r="D1175" t="s">
        <v>42</v>
      </c>
      <c r="E1175" t="s">
        <v>235</v>
      </c>
      <c r="F1175" t="s">
        <v>353</v>
      </c>
      <c r="G1175">
        <v>-150800</v>
      </c>
      <c r="H1175" t="s">
        <v>170</v>
      </c>
      <c r="I1175" t="s">
        <v>187</v>
      </c>
    </row>
    <row r="1176" spans="1:9">
      <c r="A1176" s="50">
        <v>45845</v>
      </c>
      <c r="B1176" s="51">
        <v>0.2409722222222222</v>
      </c>
      <c r="C1176" t="s">
        <v>167</v>
      </c>
      <c r="D1176" t="s">
        <v>33</v>
      </c>
      <c r="E1176" t="s">
        <v>282</v>
      </c>
      <c r="F1176" t="s">
        <v>287</v>
      </c>
      <c r="G1176">
        <v>-2700</v>
      </c>
      <c r="H1176" t="s">
        <v>170</v>
      </c>
      <c r="I1176" t="s">
        <v>243</v>
      </c>
    </row>
    <row r="1177" spans="1:9">
      <c r="A1177" s="50">
        <v>45844</v>
      </c>
      <c r="B1177" s="51">
        <v>0.6875925925925926</v>
      </c>
      <c r="C1177" t="s">
        <v>167</v>
      </c>
      <c r="D1177" t="s">
        <v>38</v>
      </c>
      <c r="E1177" t="s">
        <v>181</v>
      </c>
      <c r="F1177" t="s">
        <v>428</v>
      </c>
      <c r="G1177">
        <v>-12100</v>
      </c>
      <c r="H1177" t="s">
        <v>170</v>
      </c>
      <c r="I1177" t="s">
        <v>171</v>
      </c>
    </row>
    <row r="1178" spans="1:9">
      <c r="A1178" s="50">
        <v>45844</v>
      </c>
      <c r="B1178" s="51">
        <v>0.684837962962963</v>
      </c>
      <c r="C1178" t="s">
        <v>167</v>
      </c>
      <c r="D1178" t="s">
        <v>40</v>
      </c>
      <c r="E1178" t="s">
        <v>356</v>
      </c>
      <c r="F1178" t="s">
        <v>429</v>
      </c>
      <c r="G1178">
        <v>-15900</v>
      </c>
      <c r="H1178" t="s">
        <v>170</v>
      </c>
      <c r="I1178" t="s">
        <v>171</v>
      </c>
    </row>
    <row r="1179" spans="1:9">
      <c r="A1179" s="50">
        <v>45844</v>
      </c>
      <c r="B1179" s="51">
        <v>0.6763194444444445</v>
      </c>
      <c r="C1179" t="s">
        <v>167</v>
      </c>
      <c r="D1179" t="s">
        <v>40</v>
      </c>
      <c r="E1179" t="s">
        <v>244</v>
      </c>
      <c r="F1179" t="s">
        <v>614</v>
      </c>
      <c r="G1179">
        <v>-13100</v>
      </c>
      <c r="H1179" t="s">
        <v>170</v>
      </c>
      <c r="I1179" t="s">
        <v>171</v>
      </c>
    </row>
    <row r="1180" spans="1:9">
      <c r="A1180" s="50">
        <v>45844</v>
      </c>
      <c r="B1180" s="51">
        <v>0.6465856481481481</v>
      </c>
      <c r="C1180" t="s">
        <v>167</v>
      </c>
      <c r="D1180" t="s">
        <v>42</v>
      </c>
      <c r="E1180" t="s">
        <v>235</v>
      </c>
      <c r="F1180" t="s">
        <v>242</v>
      </c>
      <c r="G1180">
        <v>-22590</v>
      </c>
      <c r="H1180" t="s">
        <v>170</v>
      </c>
      <c r="I1180" t="s">
        <v>243</v>
      </c>
    </row>
    <row r="1181" spans="1:9">
      <c r="A1181" s="50">
        <v>45844</v>
      </c>
      <c r="B1181" s="51">
        <v>0.5979398148148148</v>
      </c>
      <c r="C1181" t="s">
        <v>172</v>
      </c>
      <c r="D1181" t="s">
        <v>172</v>
      </c>
      <c r="E1181" t="s">
        <v>173</v>
      </c>
      <c r="F1181" t="s">
        <v>632</v>
      </c>
      <c r="G1181">
        <v>-22340</v>
      </c>
      <c r="H1181" t="s">
        <v>170</v>
      </c>
      <c r="I1181" t="s">
        <v>175</v>
      </c>
    </row>
    <row r="1182" spans="1:9">
      <c r="A1182" s="50">
        <v>45844</v>
      </c>
      <c r="B1182" s="51">
        <v>0.5948842592592593</v>
      </c>
      <c r="C1182" t="s">
        <v>172</v>
      </c>
      <c r="D1182" t="s">
        <v>172</v>
      </c>
      <c r="E1182" t="s">
        <v>173</v>
      </c>
      <c r="F1182" t="s">
        <v>578</v>
      </c>
      <c r="G1182">
        <v>-46630</v>
      </c>
      <c r="H1182" t="s">
        <v>170</v>
      </c>
      <c r="I1182" t="s">
        <v>175</v>
      </c>
    </row>
    <row r="1183" spans="1:9">
      <c r="A1183" s="50">
        <v>45843</v>
      </c>
      <c r="B1183" s="51">
        <v>0.8674884259259259</v>
      </c>
      <c r="C1183" t="s">
        <v>167</v>
      </c>
      <c r="D1183" t="s">
        <v>42</v>
      </c>
      <c r="E1183" t="s">
        <v>188</v>
      </c>
      <c r="F1183" t="s">
        <v>231</v>
      </c>
      <c r="G1183">
        <v>-14900</v>
      </c>
      <c r="H1183" t="s">
        <v>170</v>
      </c>
      <c r="I1183" t="s">
        <v>187</v>
      </c>
    </row>
    <row r="1184" spans="1:9">
      <c r="A1184" s="50">
        <v>45843</v>
      </c>
      <c r="B1184" s="51">
        <v>0.8502893518518518</v>
      </c>
      <c r="C1184" t="s">
        <v>167</v>
      </c>
      <c r="D1184" t="s">
        <v>40</v>
      </c>
      <c r="E1184" t="s">
        <v>383</v>
      </c>
      <c r="F1184" t="s">
        <v>633</v>
      </c>
      <c r="G1184">
        <v>-8000</v>
      </c>
      <c r="H1184" t="s">
        <v>170</v>
      </c>
      <c r="I1184" t="s">
        <v>171</v>
      </c>
    </row>
    <row r="1185" spans="1:9">
      <c r="A1185" s="50">
        <v>45843</v>
      </c>
      <c r="B1185" s="51">
        <v>0.5236921296296296</v>
      </c>
      <c r="C1185" t="s">
        <v>167</v>
      </c>
      <c r="D1185" t="s">
        <v>33</v>
      </c>
      <c r="E1185" t="s">
        <v>385</v>
      </c>
      <c r="F1185" t="s">
        <v>386</v>
      </c>
      <c r="G1185">
        <v>-59800</v>
      </c>
      <c r="H1185" t="s">
        <v>170</v>
      </c>
      <c r="I1185" t="s">
        <v>237</v>
      </c>
    </row>
    <row r="1186" spans="1:9">
      <c r="A1186" s="50">
        <v>45843</v>
      </c>
      <c r="B1186" s="51">
        <v>0.5135532407407407</v>
      </c>
      <c r="C1186" t="s">
        <v>167</v>
      </c>
      <c r="D1186" t="s">
        <v>46</v>
      </c>
      <c r="E1186" t="s">
        <v>168</v>
      </c>
      <c r="F1186" t="s">
        <v>620</v>
      </c>
      <c r="G1186">
        <v>-2000</v>
      </c>
      <c r="H1186" t="s">
        <v>170</v>
      </c>
      <c r="I1186" t="s">
        <v>171</v>
      </c>
    </row>
    <row r="1187" spans="1:9">
      <c r="A1187" s="50">
        <v>45843</v>
      </c>
      <c r="B1187" s="51">
        <v>0.4466435185185185</v>
      </c>
      <c r="C1187" t="s">
        <v>167</v>
      </c>
      <c r="D1187" t="s">
        <v>42</v>
      </c>
      <c r="E1187" t="s">
        <v>188</v>
      </c>
      <c r="F1187" t="s">
        <v>320</v>
      </c>
      <c r="G1187">
        <v>-7890</v>
      </c>
      <c r="H1187" t="s">
        <v>170</v>
      </c>
      <c r="I1187" t="s">
        <v>243</v>
      </c>
    </row>
    <row r="1188" spans="1:9">
      <c r="A1188" s="50">
        <v>45842</v>
      </c>
      <c r="B1188" s="51">
        <v>0.8365509259259259</v>
      </c>
      <c r="C1188" t="s">
        <v>167</v>
      </c>
      <c r="D1188" t="s">
        <v>42</v>
      </c>
      <c r="E1188" t="s">
        <v>338</v>
      </c>
      <c r="F1188" t="s">
        <v>339</v>
      </c>
      <c r="G1188">
        <v>-22000</v>
      </c>
      <c r="H1188" t="s">
        <v>170</v>
      </c>
      <c r="I1188" t="s">
        <v>187</v>
      </c>
    </row>
    <row r="1189" spans="1:9">
      <c r="A1189" s="50">
        <v>45842</v>
      </c>
      <c r="B1189" s="51">
        <v>0.2517592592592592</v>
      </c>
      <c r="C1189" t="s">
        <v>167</v>
      </c>
      <c r="D1189" t="s">
        <v>42</v>
      </c>
      <c r="E1189" t="s">
        <v>188</v>
      </c>
      <c r="F1189" t="s">
        <v>252</v>
      </c>
      <c r="G1189">
        <v>-13500</v>
      </c>
      <c r="H1189" t="s">
        <v>170</v>
      </c>
      <c r="I1189" t="s">
        <v>253</v>
      </c>
    </row>
    <row r="1190" spans="1:9">
      <c r="A1190" s="50">
        <v>45841</v>
      </c>
      <c r="B1190" s="51">
        <v>0.8735300925925926</v>
      </c>
      <c r="C1190" t="s">
        <v>172</v>
      </c>
      <c r="D1190" t="s">
        <v>172</v>
      </c>
      <c r="E1190" t="s">
        <v>173</v>
      </c>
      <c r="F1190" t="s">
        <v>202</v>
      </c>
      <c r="G1190">
        <v>-14360</v>
      </c>
      <c r="H1190" t="s">
        <v>170</v>
      </c>
      <c r="I1190" t="s">
        <v>60</v>
      </c>
    </row>
    <row r="1191" spans="1:9">
      <c r="A1191" s="50">
        <v>45841</v>
      </c>
      <c r="B1191" s="51">
        <v>0.7927314814814815</v>
      </c>
      <c r="C1191" t="s">
        <v>167</v>
      </c>
      <c r="D1191" t="s">
        <v>38</v>
      </c>
      <c r="E1191" t="s">
        <v>181</v>
      </c>
      <c r="F1191" t="s">
        <v>619</v>
      </c>
      <c r="G1191">
        <v>-3600</v>
      </c>
      <c r="H1191" t="s">
        <v>170</v>
      </c>
      <c r="I1191" t="s">
        <v>171</v>
      </c>
    </row>
    <row r="1192" spans="1:9">
      <c r="A1192" s="50">
        <v>45841</v>
      </c>
      <c r="B1192" s="51">
        <v>0.7844675925925926</v>
      </c>
      <c r="C1192" t="s">
        <v>172</v>
      </c>
      <c r="D1192" t="s">
        <v>172</v>
      </c>
      <c r="E1192" t="s">
        <v>173</v>
      </c>
      <c r="F1192" t="s">
        <v>202</v>
      </c>
      <c r="G1192">
        <v>-9600</v>
      </c>
      <c r="H1192" t="s">
        <v>170</v>
      </c>
      <c r="I1192" t="s">
        <v>60</v>
      </c>
    </row>
    <row r="1193" spans="1:9">
      <c r="A1193" s="50">
        <v>45841</v>
      </c>
      <c r="B1193" s="51">
        <v>0.7696527777777777</v>
      </c>
      <c r="C1193" t="s">
        <v>167</v>
      </c>
      <c r="D1193" t="s">
        <v>40</v>
      </c>
      <c r="E1193" t="s">
        <v>261</v>
      </c>
      <c r="F1193" t="s">
        <v>304</v>
      </c>
      <c r="G1193">
        <v>-21500</v>
      </c>
      <c r="H1193" t="s">
        <v>170</v>
      </c>
      <c r="I1193" t="s">
        <v>253</v>
      </c>
    </row>
    <row r="1194" spans="1:9">
      <c r="A1194" s="50">
        <v>45841</v>
      </c>
      <c r="B1194" s="51">
        <v>0.7202430555555556</v>
      </c>
      <c r="C1194" t="s">
        <v>167</v>
      </c>
      <c r="D1194" t="s">
        <v>42</v>
      </c>
      <c r="E1194" t="s">
        <v>338</v>
      </c>
      <c r="F1194" t="s">
        <v>339</v>
      </c>
      <c r="G1194">
        <v>-4400</v>
      </c>
      <c r="H1194" t="s">
        <v>170</v>
      </c>
      <c r="I1194" t="s">
        <v>187</v>
      </c>
    </row>
    <row r="1195" spans="1:9">
      <c r="A1195" s="50">
        <v>45841</v>
      </c>
      <c r="B1195" s="51">
        <v>0.5489351851851851</v>
      </c>
      <c r="C1195" t="s">
        <v>167</v>
      </c>
      <c r="D1195" t="s">
        <v>46</v>
      </c>
      <c r="E1195" t="s">
        <v>219</v>
      </c>
      <c r="F1195" t="s">
        <v>634</v>
      </c>
      <c r="G1195">
        <v>-11900</v>
      </c>
      <c r="H1195" t="s">
        <v>170</v>
      </c>
      <c r="I1195" t="s">
        <v>171</v>
      </c>
    </row>
    <row r="1196" spans="1:9">
      <c r="A1196" s="50">
        <v>45841</v>
      </c>
      <c r="B1196" s="51">
        <v>0.541724537037037</v>
      </c>
      <c r="C1196" t="s">
        <v>167</v>
      </c>
      <c r="D1196" t="s">
        <v>46</v>
      </c>
      <c r="E1196" t="s">
        <v>168</v>
      </c>
      <c r="F1196" t="s">
        <v>620</v>
      </c>
      <c r="G1196">
        <v>-5500</v>
      </c>
      <c r="H1196" t="s">
        <v>170</v>
      </c>
      <c r="I1196" t="s">
        <v>171</v>
      </c>
    </row>
    <row r="1197" spans="1:9">
      <c r="A1197" s="50">
        <v>45840</v>
      </c>
      <c r="B1197" s="51">
        <v>0.6016898148148148</v>
      </c>
      <c r="C1197" t="s">
        <v>167</v>
      </c>
      <c r="D1197" t="s">
        <v>46</v>
      </c>
      <c r="E1197" t="s">
        <v>168</v>
      </c>
      <c r="F1197" t="s">
        <v>622</v>
      </c>
      <c r="G1197">
        <v>-1800</v>
      </c>
      <c r="H1197" t="s">
        <v>170</v>
      </c>
      <c r="I1197" t="s">
        <v>171</v>
      </c>
    </row>
    <row r="1198" spans="1:9">
      <c r="A1198" s="50">
        <v>45840</v>
      </c>
      <c r="B1198" s="51">
        <v>0.5045486111111112</v>
      </c>
      <c r="C1198" t="s">
        <v>167</v>
      </c>
      <c r="D1198" t="s">
        <v>40</v>
      </c>
      <c r="E1198" t="s">
        <v>261</v>
      </c>
      <c r="F1198" t="s">
        <v>262</v>
      </c>
      <c r="G1198">
        <v>-14300</v>
      </c>
      <c r="H1198" t="s">
        <v>170</v>
      </c>
      <c r="I1198" t="s">
        <v>243</v>
      </c>
    </row>
    <row r="1199" spans="1:9">
      <c r="A1199" s="50">
        <v>45840</v>
      </c>
      <c r="B1199" s="51">
        <v>0.3687847222222222</v>
      </c>
      <c r="C1199" t="s">
        <v>167</v>
      </c>
      <c r="D1199" t="s">
        <v>42</v>
      </c>
      <c r="E1199" t="s">
        <v>338</v>
      </c>
      <c r="F1199" t="s">
        <v>339</v>
      </c>
      <c r="G1199">
        <v>-1100</v>
      </c>
      <c r="H1199" t="s">
        <v>170</v>
      </c>
      <c r="I1199" t="s">
        <v>187</v>
      </c>
    </row>
    <row r="1200" spans="1:9">
      <c r="A1200" s="50">
        <v>45839</v>
      </c>
      <c r="B1200" s="51">
        <v>0.7967476851851852</v>
      </c>
      <c r="C1200" t="s">
        <v>172</v>
      </c>
      <c r="D1200" t="s">
        <v>172</v>
      </c>
      <c r="E1200" t="s">
        <v>173</v>
      </c>
      <c r="F1200" t="s">
        <v>352</v>
      </c>
      <c r="G1200">
        <v>200000</v>
      </c>
      <c r="H1200" t="s">
        <v>170</v>
      </c>
      <c r="I1200" t="s">
        <v>175</v>
      </c>
    </row>
    <row r="1201" spans="1:9">
      <c r="A1201" s="50">
        <v>45839</v>
      </c>
      <c r="B1201" s="51">
        <v>0.706400462962963</v>
      </c>
      <c r="C1201" t="s">
        <v>167</v>
      </c>
      <c r="D1201" t="s">
        <v>40</v>
      </c>
      <c r="E1201" t="s">
        <v>356</v>
      </c>
      <c r="F1201" t="s">
        <v>624</v>
      </c>
      <c r="G1201">
        <v>-37040</v>
      </c>
      <c r="H1201" t="s">
        <v>170</v>
      </c>
      <c r="I1201" t="s">
        <v>171</v>
      </c>
    </row>
    <row r="1202" spans="1:9">
      <c r="A1202" s="50">
        <v>45839</v>
      </c>
      <c r="B1202" s="51">
        <v>0.6993865740740741</v>
      </c>
      <c r="C1202" t="s">
        <v>167</v>
      </c>
      <c r="D1202" t="s">
        <v>43</v>
      </c>
      <c r="E1202" t="s">
        <v>203</v>
      </c>
      <c r="F1202" t="s">
        <v>615</v>
      </c>
      <c r="G1202">
        <v>-10500</v>
      </c>
      <c r="H1202" t="s">
        <v>170</v>
      </c>
      <c r="I1202" t="s">
        <v>171</v>
      </c>
    </row>
    <row r="1203" spans="1:9">
      <c r="A1203" s="50">
        <v>45839</v>
      </c>
      <c r="B1203" s="51">
        <v>0.4951041666666667</v>
      </c>
      <c r="C1203" t="s">
        <v>167</v>
      </c>
      <c r="D1203" t="s">
        <v>33</v>
      </c>
      <c r="E1203" t="s">
        <v>385</v>
      </c>
      <c r="F1203" t="s">
        <v>479</v>
      </c>
      <c r="G1203">
        <v>-12000</v>
      </c>
      <c r="H1203" t="s">
        <v>170</v>
      </c>
      <c r="I1203" t="s">
        <v>171</v>
      </c>
    </row>
    <row r="1204" spans="1:9">
      <c r="A1204" s="50">
        <v>45838</v>
      </c>
      <c r="B1204" s="51">
        <v>0.7544097222222222</v>
      </c>
      <c r="C1204" t="s">
        <v>167</v>
      </c>
      <c r="D1204" t="s">
        <v>42</v>
      </c>
      <c r="E1204" t="s">
        <v>338</v>
      </c>
      <c r="F1204" t="s">
        <v>339</v>
      </c>
      <c r="G1204">
        <v>-14000</v>
      </c>
      <c r="H1204" t="s">
        <v>170</v>
      </c>
      <c r="I1204" t="s">
        <v>187</v>
      </c>
    </row>
    <row r="1205" spans="1:9">
      <c r="A1205" s="50">
        <v>45838</v>
      </c>
      <c r="B1205" s="51">
        <v>0.4533796296296296</v>
      </c>
      <c r="C1205" t="s">
        <v>167</v>
      </c>
      <c r="D1205" t="s">
        <v>46</v>
      </c>
      <c r="E1205" t="s">
        <v>168</v>
      </c>
      <c r="F1205" t="s">
        <v>305</v>
      </c>
      <c r="G1205">
        <v>-6000</v>
      </c>
      <c r="H1205" t="s">
        <v>170</v>
      </c>
      <c r="I1205" t="s">
        <v>171</v>
      </c>
    </row>
    <row r="1206" spans="1:9">
      <c r="A1206" s="50">
        <v>45838</v>
      </c>
      <c r="B1206" s="51">
        <v>0.1312268518518518</v>
      </c>
      <c r="C1206" t="s">
        <v>167</v>
      </c>
      <c r="D1206" t="s">
        <v>45</v>
      </c>
      <c r="E1206" t="s">
        <v>185</v>
      </c>
      <c r="F1206" t="s">
        <v>569</v>
      </c>
      <c r="G1206">
        <v>-89170</v>
      </c>
      <c r="H1206" t="s">
        <v>170</v>
      </c>
      <c r="I1206" t="s">
        <v>61</v>
      </c>
    </row>
    <row r="1207" spans="1:9">
      <c r="A1207" s="50">
        <v>45838</v>
      </c>
      <c r="B1207" s="51">
        <v>0</v>
      </c>
      <c r="C1207" t="s">
        <v>167</v>
      </c>
      <c r="D1207" t="s">
        <v>34</v>
      </c>
      <c r="E1207" t="s">
        <v>206</v>
      </c>
      <c r="F1207" t="s">
        <v>635</v>
      </c>
      <c r="G1207">
        <v>-200</v>
      </c>
      <c r="H1207" t="s">
        <v>170</v>
      </c>
      <c r="I1207" t="s">
        <v>187</v>
      </c>
    </row>
    <row r="1208" spans="1:9">
      <c r="A1208" s="50">
        <v>45838</v>
      </c>
      <c r="B1208" s="51">
        <v>0</v>
      </c>
      <c r="C1208" t="s">
        <v>167</v>
      </c>
      <c r="D1208" t="s">
        <v>33</v>
      </c>
      <c r="E1208" t="s">
        <v>282</v>
      </c>
      <c r="F1208" t="s">
        <v>636</v>
      </c>
      <c r="G1208">
        <v>-1200</v>
      </c>
      <c r="H1208" t="s">
        <v>170</v>
      </c>
      <c r="I1208" t="s">
        <v>187</v>
      </c>
    </row>
    <row r="1209" spans="1:9">
      <c r="A1209" s="50">
        <v>45837</v>
      </c>
      <c r="B1209" s="51">
        <v>0.5648611111111111</v>
      </c>
      <c r="C1209" t="s">
        <v>167</v>
      </c>
      <c r="D1209" t="s">
        <v>42</v>
      </c>
      <c r="E1209" t="s">
        <v>338</v>
      </c>
      <c r="F1209" t="s">
        <v>339</v>
      </c>
      <c r="G1209">
        <v>-31200</v>
      </c>
      <c r="H1209" t="s">
        <v>170</v>
      </c>
      <c r="I1209" t="s">
        <v>187</v>
      </c>
    </row>
    <row r="1210" spans="1:9">
      <c r="A1210" s="50">
        <v>45836</v>
      </c>
      <c r="B1210" s="51">
        <v>0.5167592592592593</v>
      </c>
      <c r="C1210" t="s">
        <v>172</v>
      </c>
      <c r="D1210" t="s">
        <v>172</v>
      </c>
      <c r="E1210" t="s">
        <v>173</v>
      </c>
      <c r="F1210" t="s">
        <v>604</v>
      </c>
      <c r="G1210">
        <v>-150000</v>
      </c>
      <c r="H1210" t="s">
        <v>170</v>
      </c>
      <c r="I1210" t="s">
        <v>59</v>
      </c>
    </row>
    <row r="1211" spans="1:9">
      <c r="A1211" s="50">
        <v>45836</v>
      </c>
      <c r="B1211" s="51">
        <v>0.5164351851851852</v>
      </c>
      <c r="C1211" t="s">
        <v>172</v>
      </c>
      <c r="D1211" t="s">
        <v>195</v>
      </c>
      <c r="E1211" t="s">
        <v>173</v>
      </c>
      <c r="F1211" t="s">
        <v>7</v>
      </c>
      <c r="G1211">
        <v>850000</v>
      </c>
      <c r="H1211" t="s">
        <v>170</v>
      </c>
      <c r="I1211" t="s">
        <v>59</v>
      </c>
    </row>
    <row r="1212" spans="1:9">
      <c r="A1212" s="50">
        <v>45836</v>
      </c>
      <c r="B1212" s="51">
        <v>0.5164351851851852</v>
      </c>
      <c r="C1212" t="s">
        <v>172</v>
      </c>
      <c r="D1212" t="s">
        <v>195</v>
      </c>
      <c r="E1212" t="s">
        <v>173</v>
      </c>
      <c r="F1212" t="s">
        <v>637</v>
      </c>
      <c r="G1212">
        <v>-850000</v>
      </c>
      <c r="H1212" t="s">
        <v>170</v>
      </c>
      <c r="I1212" t="s">
        <v>61</v>
      </c>
    </row>
    <row r="1213" spans="1:9">
      <c r="A1213" s="50">
        <v>45836</v>
      </c>
      <c r="B1213" s="51">
        <v>0.5068055555555555</v>
      </c>
      <c r="C1213" t="s">
        <v>167</v>
      </c>
      <c r="D1213" t="s">
        <v>46</v>
      </c>
      <c r="E1213" t="s">
        <v>168</v>
      </c>
      <c r="F1213" t="s">
        <v>418</v>
      </c>
      <c r="G1213">
        <v>-1800</v>
      </c>
      <c r="H1213" t="s">
        <v>170</v>
      </c>
      <c r="I1213" t="s">
        <v>171</v>
      </c>
    </row>
    <row r="1214" spans="1:9">
      <c r="A1214" s="50">
        <v>45836</v>
      </c>
      <c r="B1214" s="51">
        <v>0.4485648148148148</v>
      </c>
      <c r="C1214" t="s">
        <v>167</v>
      </c>
      <c r="D1214" t="s">
        <v>43</v>
      </c>
      <c r="E1214" t="s">
        <v>179</v>
      </c>
      <c r="F1214" t="s">
        <v>638</v>
      </c>
      <c r="G1214">
        <v>-22000</v>
      </c>
      <c r="H1214" t="s">
        <v>170</v>
      </c>
      <c r="I1214" t="s">
        <v>171</v>
      </c>
    </row>
    <row r="1215" spans="1:9">
      <c r="A1215" s="50">
        <v>45836</v>
      </c>
      <c r="B1215" s="51">
        <v>0.2342592592592593</v>
      </c>
      <c r="C1215" t="s">
        <v>233</v>
      </c>
      <c r="D1215" t="s">
        <v>28</v>
      </c>
      <c r="E1215" t="s">
        <v>173</v>
      </c>
      <c r="F1215" t="s">
        <v>278</v>
      </c>
      <c r="G1215">
        <v>19</v>
      </c>
      <c r="H1215" t="s">
        <v>170</v>
      </c>
      <c r="I1215" t="s">
        <v>60</v>
      </c>
    </row>
    <row r="1216" spans="1:9">
      <c r="A1216" s="50">
        <v>45835</v>
      </c>
      <c r="B1216" s="51">
        <v>0.5653935185185185</v>
      </c>
      <c r="C1216" t="s">
        <v>167</v>
      </c>
      <c r="D1216" t="s">
        <v>42</v>
      </c>
      <c r="E1216" t="s">
        <v>338</v>
      </c>
      <c r="F1216" t="s">
        <v>339</v>
      </c>
      <c r="G1216">
        <v>-9900</v>
      </c>
      <c r="H1216" t="s">
        <v>170</v>
      </c>
      <c r="I1216" t="s">
        <v>187</v>
      </c>
    </row>
    <row r="1217" spans="1:9">
      <c r="A1217" s="50">
        <v>45835</v>
      </c>
      <c r="B1217" s="51">
        <v>0.5640625</v>
      </c>
      <c r="C1217" t="s">
        <v>167</v>
      </c>
      <c r="D1217" t="s">
        <v>33</v>
      </c>
      <c r="E1217" t="s">
        <v>385</v>
      </c>
      <c r="F1217" t="s">
        <v>386</v>
      </c>
      <c r="G1217">
        <v>-59800</v>
      </c>
      <c r="H1217" t="s">
        <v>170</v>
      </c>
      <c r="I1217" t="s">
        <v>237</v>
      </c>
    </row>
    <row r="1218" spans="1:9">
      <c r="A1218" s="50">
        <v>45835</v>
      </c>
      <c r="B1218" s="51">
        <v>0.5451157407407408</v>
      </c>
      <c r="C1218" t="s">
        <v>167</v>
      </c>
      <c r="D1218" t="s">
        <v>42</v>
      </c>
      <c r="E1218" t="s">
        <v>235</v>
      </c>
      <c r="F1218" t="s">
        <v>242</v>
      </c>
      <c r="G1218">
        <v>-8900</v>
      </c>
      <c r="H1218" t="s">
        <v>170</v>
      </c>
      <c r="I1218" t="s">
        <v>243</v>
      </c>
    </row>
    <row r="1219" spans="1:9">
      <c r="A1219" s="50">
        <v>45835</v>
      </c>
      <c r="B1219" s="51">
        <v>0.487662037037037</v>
      </c>
      <c r="C1219" t="s">
        <v>167</v>
      </c>
      <c r="D1219" t="s">
        <v>46</v>
      </c>
      <c r="E1219" t="s">
        <v>168</v>
      </c>
      <c r="F1219" t="s">
        <v>418</v>
      </c>
      <c r="G1219">
        <v>-1800</v>
      </c>
      <c r="H1219" t="s">
        <v>170</v>
      </c>
      <c r="I1219" t="s">
        <v>171</v>
      </c>
    </row>
    <row r="1220" spans="1:9">
      <c r="A1220" s="50">
        <v>45833</v>
      </c>
      <c r="B1220" s="51">
        <v>0.8595138888888889</v>
      </c>
      <c r="C1220" t="s">
        <v>167</v>
      </c>
      <c r="D1220" t="s">
        <v>38</v>
      </c>
      <c r="E1220" t="s">
        <v>259</v>
      </c>
      <c r="F1220" t="s">
        <v>389</v>
      </c>
      <c r="G1220">
        <v>-9060</v>
      </c>
      <c r="H1220" t="s">
        <v>170</v>
      </c>
      <c r="I1220" t="s">
        <v>171</v>
      </c>
    </row>
    <row r="1221" spans="1:9">
      <c r="A1221" s="50">
        <v>45833</v>
      </c>
      <c r="B1221" s="51">
        <v>0.7294212962962963</v>
      </c>
      <c r="C1221" t="s">
        <v>167</v>
      </c>
      <c r="D1221" t="s">
        <v>40</v>
      </c>
      <c r="E1221" t="s">
        <v>176</v>
      </c>
      <c r="F1221" t="s">
        <v>639</v>
      </c>
      <c r="G1221">
        <v>-23400</v>
      </c>
      <c r="H1221" t="s">
        <v>170</v>
      </c>
      <c r="I1221" t="s">
        <v>187</v>
      </c>
    </row>
    <row r="1222" spans="1:9">
      <c r="A1222" s="50">
        <v>45833</v>
      </c>
      <c r="B1222" s="51">
        <v>0.4877777777777778</v>
      </c>
      <c r="C1222" t="s">
        <v>167</v>
      </c>
      <c r="D1222" t="s">
        <v>40</v>
      </c>
      <c r="E1222" t="s">
        <v>261</v>
      </c>
      <c r="F1222" t="s">
        <v>262</v>
      </c>
      <c r="G1222">
        <v>-10900</v>
      </c>
      <c r="H1222" t="s">
        <v>170</v>
      </c>
      <c r="I1222" t="s">
        <v>243</v>
      </c>
    </row>
    <row r="1223" spans="1:9">
      <c r="A1223" s="50">
        <v>45833</v>
      </c>
      <c r="B1223" s="51">
        <v>0.4859606481481482</v>
      </c>
      <c r="C1223" t="s">
        <v>167</v>
      </c>
      <c r="D1223" t="s">
        <v>46</v>
      </c>
      <c r="E1223" t="s">
        <v>168</v>
      </c>
      <c r="F1223" t="s">
        <v>418</v>
      </c>
      <c r="G1223">
        <v>-1800</v>
      </c>
      <c r="H1223" t="s">
        <v>170</v>
      </c>
      <c r="I1223" t="s">
        <v>171</v>
      </c>
    </row>
    <row r="1224" spans="1:9">
      <c r="A1224" s="50">
        <v>45833</v>
      </c>
      <c r="B1224" s="51">
        <v>0.4850462962962963</v>
      </c>
      <c r="C1224" t="s">
        <v>167</v>
      </c>
      <c r="D1224" t="s">
        <v>42</v>
      </c>
      <c r="E1224" t="s">
        <v>235</v>
      </c>
      <c r="F1224" t="s">
        <v>242</v>
      </c>
      <c r="G1224">
        <v>-21680</v>
      </c>
      <c r="H1224" t="s">
        <v>170</v>
      </c>
      <c r="I1224" t="s">
        <v>243</v>
      </c>
    </row>
    <row r="1225" spans="1:9">
      <c r="A1225" s="50">
        <v>45833</v>
      </c>
      <c r="B1225" s="51">
        <v>0.4350462962962963</v>
      </c>
      <c r="C1225" t="s">
        <v>167</v>
      </c>
      <c r="D1225" t="s">
        <v>38</v>
      </c>
      <c r="E1225" t="s">
        <v>259</v>
      </c>
      <c r="F1225" t="s">
        <v>640</v>
      </c>
      <c r="G1225">
        <v>-89400</v>
      </c>
      <c r="H1225" t="s">
        <v>170</v>
      </c>
      <c r="I1225" t="s">
        <v>187</v>
      </c>
    </row>
    <row r="1226" spans="1:9">
      <c r="A1226" s="50">
        <v>45833</v>
      </c>
      <c r="B1226" s="51">
        <v>0.4280439814814815</v>
      </c>
      <c r="C1226" t="s">
        <v>167</v>
      </c>
      <c r="D1226" t="s">
        <v>42</v>
      </c>
      <c r="E1226" t="s">
        <v>338</v>
      </c>
      <c r="F1226" t="s">
        <v>339</v>
      </c>
      <c r="G1226">
        <v>-11000</v>
      </c>
      <c r="H1226" t="s">
        <v>170</v>
      </c>
      <c r="I1226" t="s">
        <v>187</v>
      </c>
    </row>
    <row r="1227" spans="1:9">
      <c r="A1227" s="50">
        <v>45833</v>
      </c>
      <c r="B1227" s="51">
        <v>0.2769791666666667</v>
      </c>
      <c r="C1227" t="s">
        <v>167</v>
      </c>
      <c r="D1227" t="s">
        <v>46</v>
      </c>
      <c r="E1227" t="s">
        <v>168</v>
      </c>
      <c r="F1227" t="s">
        <v>418</v>
      </c>
      <c r="G1227">
        <v>-1800</v>
      </c>
      <c r="H1227" t="s">
        <v>170</v>
      </c>
      <c r="I1227" t="s">
        <v>171</v>
      </c>
    </row>
    <row r="1228" spans="1:9">
      <c r="A1228" s="50">
        <v>45833</v>
      </c>
      <c r="B1228" s="51">
        <v>0.2747685185185185</v>
      </c>
      <c r="C1228" t="s">
        <v>167</v>
      </c>
      <c r="D1228" t="s">
        <v>46</v>
      </c>
      <c r="E1228" t="s">
        <v>423</v>
      </c>
      <c r="F1228" t="s">
        <v>424</v>
      </c>
      <c r="G1228">
        <v>-6200</v>
      </c>
      <c r="H1228" t="s">
        <v>170</v>
      </c>
      <c r="I1228" t="s">
        <v>171</v>
      </c>
    </row>
    <row r="1229" spans="1:9">
      <c r="A1229" s="50">
        <v>45832</v>
      </c>
      <c r="B1229" s="51">
        <v>0.3249074074074074</v>
      </c>
      <c r="C1229" t="s">
        <v>167</v>
      </c>
      <c r="D1229" t="s">
        <v>46</v>
      </c>
      <c r="E1229" t="s">
        <v>168</v>
      </c>
      <c r="F1229" t="s">
        <v>418</v>
      </c>
      <c r="G1229">
        <v>-1800</v>
      </c>
      <c r="H1229" t="s">
        <v>170</v>
      </c>
      <c r="I1229" t="s">
        <v>171</v>
      </c>
    </row>
    <row r="1230" spans="1:9">
      <c r="A1230" s="50">
        <v>45831</v>
      </c>
      <c r="B1230" s="51">
        <v>0.6902314814814815</v>
      </c>
      <c r="C1230" t="s">
        <v>167</v>
      </c>
      <c r="D1230" t="s">
        <v>40</v>
      </c>
      <c r="E1230" t="s">
        <v>261</v>
      </c>
      <c r="F1230" t="s">
        <v>262</v>
      </c>
      <c r="G1230">
        <v>-21500</v>
      </c>
      <c r="H1230" t="s">
        <v>170</v>
      </c>
      <c r="I1230" t="s">
        <v>243</v>
      </c>
    </row>
    <row r="1231" spans="1:9">
      <c r="A1231" s="50">
        <v>45831</v>
      </c>
      <c r="B1231" s="51">
        <v>0.5229282407407407</v>
      </c>
      <c r="C1231" t="s">
        <v>167</v>
      </c>
      <c r="D1231" t="s">
        <v>46</v>
      </c>
      <c r="E1231" t="s">
        <v>168</v>
      </c>
      <c r="F1231" t="s">
        <v>641</v>
      </c>
      <c r="G1231">
        <v>-2000</v>
      </c>
      <c r="H1231" t="s">
        <v>170</v>
      </c>
      <c r="I1231" t="s">
        <v>171</v>
      </c>
    </row>
    <row r="1232" spans="1:9">
      <c r="A1232" s="50">
        <v>45831</v>
      </c>
      <c r="B1232" s="51">
        <v>0.4736921296296296</v>
      </c>
      <c r="C1232" t="s">
        <v>172</v>
      </c>
      <c r="D1232" t="s">
        <v>195</v>
      </c>
      <c r="E1232" t="s">
        <v>173</v>
      </c>
      <c r="F1232" t="s">
        <v>264</v>
      </c>
      <c r="G1232">
        <v>10170</v>
      </c>
      <c r="H1232" t="s">
        <v>170</v>
      </c>
      <c r="I1232" t="s">
        <v>175</v>
      </c>
    </row>
    <row r="1233" spans="1:9">
      <c r="A1233" s="50">
        <v>45831</v>
      </c>
      <c r="B1233" s="51">
        <v>0.4736921296296296</v>
      </c>
      <c r="C1233" t="s">
        <v>172</v>
      </c>
      <c r="D1233" t="s">
        <v>172</v>
      </c>
      <c r="E1233" t="s">
        <v>173</v>
      </c>
      <c r="F1233" t="s">
        <v>642</v>
      </c>
      <c r="G1233">
        <v>-15000</v>
      </c>
      <c r="H1233" t="s">
        <v>170</v>
      </c>
      <c r="I1233" t="s">
        <v>175</v>
      </c>
    </row>
    <row r="1234" spans="1:9">
      <c r="A1234" s="50">
        <v>45830</v>
      </c>
      <c r="B1234" s="51">
        <v>0.6061921296296297</v>
      </c>
      <c r="C1234" t="s">
        <v>167</v>
      </c>
      <c r="D1234" t="s">
        <v>35</v>
      </c>
      <c r="E1234" t="s">
        <v>360</v>
      </c>
      <c r="F1234" t="s">
        <v>252</v>
      </c>
      <c r="G1234">
        <v>-4100</v>
      </c>
      <c r="H1234" t="s">
        <v>170</v>
      </c>
      <c r="I1234" t="s">
        <v>253</v>
      </c>
    </row>
    <row r="1235" spans="1:9">
      <c r="A1235" s="50">
        <v>45830</v>
      </c>
      <c r="B1235" s="51">
        <v>0.4918287037037037</v>
      </c>
      <c r="C1235" t="s">
        <v>167</v>
      </c>
      <c r="D1235" t="s">
        <v>40</v>
      </c>
      <c r="E1235" t="s">
        <v>261</v>
      </c>
      <c r="F1235" t="s">
        <v>262</v>
      </c>
      <c r="G1235">
        <v>-23000</v>
      </c>
      <c r="H1235" t="s">
        <v>170</v>
      </c>
      <c r="I1235" t="s">
        <v>243</v>
      </c>
    </row>
    <row r="1236" spans="1:9">
      <c r="A1236" s="50">
        <v>45830</v>
      </c>
      <c r="B1236" s="51">
        <v>0.485462962962963</v>
      </c>
      <c r="C1236" t="s">
        <v>167</v>
      </c>
      <c r="D1236" t="s">
        <v>46</v>
      </c>
      <c r="E1236" t="s">
        <v>219</v>
      </c>
      <c r="F1236" t="s">
        <v>445</v>
      </c>
      <c r="G1236">
        <v>-2900</v>
      </c>
      <c r="H1236" t="s">
        <v>170</v>
      </c>
      <c r="I1236" t="s">
        <v>171</v>
      </c>
    </row>
    <row r="1237" spans="1:9">
      <c r="A1237" s="50">
        <v>45830</v>
      </c>
      <c r="B1237" s="51">
        <v>0.4841550925925926</v>
      </c>
      <c r="C1237" t="s">
        <v>167</v>
      </c>
      <c r="D1237" t="s">
        <v>46</v>
      </c>
      <c r="E1237" t="s">
        <v>423</v>
      </c>
      <c r="F1237" t="s">
        <v>424</v>
      </c>
      <c r="G1237">
        <v>-3500</v>
      </c>
      <c r="H1237" t="s">
        <v>170</v>
      </c>
      <c r="I1237" t="s">
        <v>171</v>
      </c>
    </row>
    <row r="1238" spans="1:9">
      <c r="A1238" s="50">
        <v>45830</v>
      </c>
      <c r="B1238" s="51">
        <v>0.4819328703703704</v>
      </c>
      <c r="C1238" t="s">
        <v>167</v>
      </c>
      <c r="D1238" t="s">
        <v>46</v>
      </c>
      <c r="E1238" t="s">
        <v>168</v>
      </c>
      <c r="F1238" t="s">
        <v>418</v>
      </c>
      <c r="G1238">
        <v>1800</v>
      </c>
      <c r="H1238" t="s">
        <v>170</v>
      </c>
      <c r="I1238" t="s">
        <v>171</v>
      </c>
    </row>
    <row r="1239" spans="1:9">
      <c r="A1239" s="50">
        <v>45830</v>
      </c>
      <c r="B1239" s="51">
        <v>0.4772222222222222</v>
      </c>
      <c r="C1239" t="s">
        <v>167</v>
      </c>
      <c r="D1239" t="s">
        <v>46</v>
      </c>
      <c r="E1239" t="s">
        <v>168</v>
      </c>
      <c r="F1239" t="s">
        <v>418</v>
      </c>
      <c r="G1239">
        <v>-1800</v>
      </c>
      <c r="H1239" t="s">
        <v>170</v>
      </c>
      <c r="I1239" t="s">
        <v>171</v>
      </c>
    </row>
    <row r="1240" spans="1:9">
      <c r="A1240" s="50">
        <v>45829</v>
      </c>
      <c r="B1240" s="51">
        <v>0.6884606481481481</v>
      </c>
      <c r="C1240" t="s">
        <v>172</v>
      </c>
      <c r="D1240" t="s">
        <v>195</v>
      </c>
      <c r="E1240" t="s">
        <v>173</v>
      </c>
      <c r="F1240" t="s">
        <v>264</v>
      </c>
      <c r="G1240">
        <v>10000</v>
      </c>
      <c r="H1240" t="s">
        <v>170</v>
      </c>
      <c r="I1240" t="s">
        <v>175</v>
      </c>
    </row>
    <row r="1241" spans="1:9">
      <c r="A1241" s="50">
        <v>45829</v>
      </c>
      <c r="B1241" s="51">
        <v>0.6884606481481481</v>
      </c>
      <c r="C1241" t="s">
        <v>167</v>
      </c>
      <c r="D1241" t="s">
        <v>35</v>
      </c>
      <c r="E1241" t="s">
        <v>360</v>
      </c>
      <c r="F1241" t="s">
        <v>252</v>
      </c>
      <c r="G1241">
        <v>-1070</v>
      </c>
      <c r="H1241" t="s">
        <v>170</v>
      </c>
      <c r="I1241" t="s">
        <v>253</v>
      </c>
    </row>
    <row r="1242" spans="1:9">
      <c r="A1242" s="50">
        <v>45829</v>
      </c>
      <c r="B1242" s="51">
        <v>0.5572916666666666</v>
      </c>
      <c r="C1242" t="s">
        <v>167</v>
      </c>
      <c r="D1242" t="s">
        <v>46</v>
      </c>
      <c r="E1242" t="s">
        <v>168</v>
      </c>
      <c r="F1242" t="s">
        <v>418</v>
      </c>
      <c r="G1242">
        <v>-1800</v>
      </c>
      <c r="H1242" t="s">
        <v>170</v>
      </c>
      <c r="I1242" t="s">
        <v>171</v>
      </c>
    </row>
    <row r="1243" spans="1:9">
      <c r="A1243" s="50">
        <v>45829</v>
      </c>
      <c r="B1243" s="51">
        <v>0.5439583333333333</v>
      </c>
      <c r="C1243" t="s">
        <v>233</v>
      </c>
      <c r="D1243" t="s">
        <v>28</v>
      </c>
      <c r="E1243" t="s">
        <v>173</v>
      </c>
      <c r="F1243" t="s">
        <v>291</v>
      </c>
      <c r="G1243">
        <v>774</v>
      </c>
      <c r="H1243" t="s">
        <v>170</v>
      </c>
      <c r="I1243" t="s">
        <v>61</v>
      </c>
    </row>
    <row r="1244" spans="1:9">
      <c r="A1244" s="50">
        <v>45829</v>
      </c>
      <c r="B1244" s="51">
        <v>0.4944097222222222</v>
      </c>
      <c r="C1244" t="s">
        <v>167</v>
      </c>
      <c r="D1244" t="s">
        <v>42</v>
      </c>
      <c r="E1244" t="s">
        <v>188</v>
      </c>
      <c r="F1244" t="s">
        <v>493</v>
      </c>
      <c r="G1244">
        <v>-30527</v>
      </c>
      <c r="H1244" t="s">
        <v>170</v>
      </c>
      <c r="I1244" t="s">
        <v>187</v>
      </c>
    </row>
    <row r="1245" spans="1:9">
      <c r="A1245" s="50">
        <v>45828</v>
      </c>
      <c r="B1245" s="51">
        <v>0.6588078703703704</v>
      </c>
      <c r="C1245" t="s">
        <v>167</v>
      </c>
      <c r="D1245" t="s">
        <v>37</v>
      </c>
      <c r="E1245" t="s">
        <v>350</v>
      </c>
      <c r="F1245" t="s">
        <v>570</v>
      </c>
      <c r="G1245">
        <v>-30000</v>
      </c>
      <c r="H1245" t="s">
        <v>170</v>
      </c>
      <c r="I1245" t="s">
        <v>171</v>
      </c>
    </row>
    <row r="1246" spans="1:9">
      <c r="A1246" s="50">
        <v>45828</v>
      </c>
      <c r="B1246" s="51">
        <v>0.2588541666666667</v>
      </c>
      <c r="C1246" t="s">
        <v>167</v>
      </c>
      <c r="D1246" t="s">
        <v>33</v>
      </c>
      <c r="E1246" t="s">
        <v>282</v>
      </c>
      <c r="F1246" t="s">
        <v>607</v>
      </c>
      <c r="G1246">
        <v>-10400</v>
      </c>
      <c r="H1246" t="s">
        <v>170</v>
      </c>
      <c r="I1246" t="s">
        <v>243</v>
      </c>
    </row>
    <row r="1247" spans="1:9">
      <c r="A1247" s="50">
        <v>45828</v>
      </c>
      <c r="B1247" s="51">
        <v>0.2542824074074074</v>
      </c>
      <c r="C1247" t="s">
        <v>167</v>
      </c>
      <c r="D1247" t="s">
        <v>42</v>
      </c>
      <c r="E1247" t="s">
        <v>338</v>
      </c>
      <c r="F1247" t="s">
        <v>339</v>
      </c>
      <c r="G1247">
        <v>-14000</v>
      </c>
      <c r="H1247" t="s">
        <v>170</v>
      </c>
      <c r="I1247" t="s">
        <v>187</v>
      </c>
    </row>
    <row r="1248" spans="1:9">
      <c r="A1248" s="50">
        <v>45827</v>
      </c>
      <c r="B1248" s="51">
        <v>0.8280439814814815</v>
      </c>
      <c r="C1248" t="s">
        <v>167</v>
      </c>
      <c r="D1248" t="s">
        <v>35</v>
      </c>
      <c r="E1248" t="s">
        <v>360</v>
      </c>
      <c r="F1248" t="s">
        <v>252</v>
      </c>
      <c r="G1248">
        <v>-14950</v>
      </c>
      <c r="H1248" t="s">
        <v>170</v>
      </c>
      <c r="I1248" t="s">
        <v>253</v>
      </c>
    </row>
    <row r="1249" spans="1:9">
      <c r="A1249" s="50">
        <v>45827</v>
      </c>
      <c r="B1249" s="51">
        <v>0.5588194444444444</v>
      </c>
      <c r="C1249" t="s">
        <v>167</v>
      </c>
      <c r="D1249" t="s">
        <v>45</v>
      </c>
      <c r="E1249" t="s">
        <v>185</v>
      </c>
      <c r="F1249" t="s">
        <v>186</v>
      </c>
      <c r="G1249">
        <v>-58290</v>
      </c>
      <c r="H1249" t="s">
        <v>170</v>
      </c>
      <c r="I1249" t="s">
        <v>187</v>
      </c>
    </row>
    <row r="1250" spans="1:9">
      <c r="A1250" s="50">
        <v>45826</v>
      </c>
      <c r="B1250" s="51">
        <v>0.5938657407407407</v>
      </c>
      <c r="C1250" t="s">
        <v>167</v>
      </c>
      <c r="D1250" t="s">
        <v>46</v>
      </c>
      <c r="E1250" t="s">
        <v>168</v>
      </c>
      <c r="F1250" t="s">
        <v>305</v>
      </c>
      <c r="G1250">
        <v>-3000</v>
      </c>
      <c r="H1250" t="s">
        <v>170</v>
      </c>
      <c r="I1250" t="s">
        <v>171</v>
      </c>
    </row>
    <row r="1251" spans="1:9">
      <c r="A1251" s="50">
        <v>45826</v>
      </c>
      <c r="B1251" s="51">
        <v>0.5317476851851852</v>
      </c>
      <c r="C1251" t="s">
        <v>167</v>
      </c>
      <c r="D1251" t="s">
        <v>46</v>
      </c>
      <c r="E1251" t="s">
        <v>168</v>
      </c>
      <c r="F1251" t="s">
        <v>643</v>
      </c>
      <c r="G1251">
        <v>-3600</v>
      </c>
      <c r="H1251" t="s">
        <v>170</v>
      </c>
      <c r="I1251" t="s">
        <v>171</v>
      </c>
    </row>
    <row r="1252" spans="1:9">
      <c r="A1252" s="50">
        <v>45826</v>
      </c>
      <c r="B1252" s="51">
        <v>0.448425925925926</v>
      </c>
      <c r="C1252" t="s">
        <v>167</v>
      </c>
      <c r="D1252" t="s">
        <v>40</v>
      </c>
      <c r="E1252" t="s">
        <v>244</v>
      </c>
      <c r="F1252" t="s">
        <v>644</v>
      </c>
      <c r="G1252">
        <v>-2300</v>
      </c>
      <c r="H1252" t="s">
        <v>170</v>
      </c>
      <c r="I1252" t="s">
        <v>171</v>
      </c>
    </row>
    <row r="1253" spans="1:9">
      <c r="A1253" s="50">
        <v>45824</v>
      </c>
      <c r="B1253" s="51">
        <v>0.6969097222222222</v>
      </c>
      <c r="C1253" t="s">
        <v>172</v>
      </c>
      <c r="D1253" t="s">
        <v>195</v>
      </c>
      <c r="E1253" t="s">
        <v>173</v>
      </c>
      <c r="F1253" t="s">
        <v>264</v>
      </c>
      <c r="G1253">
        <v>13200</v>
      </c>
      <c r="H1253" t="s">
        <v>170</v>
      </c>
      <c r="I1253" t="s">
        <v>175</v>
      </c>
    </row>
    <row r="1254" spans="1:9">
      <c r="A1254" s="50">
        <v>45824</v>
      </c>
      <c r="B1254" s="51">
        <v>0.6969097222222222</v>
      </c>
      <c r="C1254" t="s">
        <v>172</v>
      </c>
      <c r="D1254" t="s">
        <v>172</v>
      </c>
      <c r="E1254" t="s">
        <v>173</v>
      </c>
      <c r="F1254" t="s">
        <v>642</v>
      </c>
      <c r="G1254">
        <v>-15000</v>
      </c>
      <c r="H1254" t="s">
        <v>170</v>
      </c>
      <c r="I1254" t="s">
        <v>175</v>
      </c>
    </row>
    <row r="1255" spans="1:9">
      <c r="A1255" s="50">
        <v>45824</v>
      </c>
      <c r="B1255" s="51">
        <v>0.6149189814814815</v>
      </c>
      <c r="C1255" t="s">
        <v>172</v>
      </c>
      <c r="D1255" t="s">
        <v>195</v>
      </c>
      <c r="E1255" t="s">
        <v>173</v>
      </c>
      <c r="F1255" t="s">
        <v>264</v>
      </c>
      <c r="G1255">
        <v>10000</v>
      </c>
      <c r="H1255" t="s">
        <v>170</v>
      </c>
      <c r="I1255" t="s">
        <v>175</v>
      </c>
    </row>
    <row r="1256" spans="1:9">
      <c r="A1256" s="50">
        <v>45824</v>
      </c>
      <c r="B1256" s="51">
        <v>0.6149189814814815</v>
      </c>
      <c r="C1256" t="s">
        <v>167</v>
      </c>
      <c r="D1256" t="s">
        <v>35</v>
      </c>
      <c r="E1256" t="s">
        <v>360</v>
      </c>
      <c r="F1256" t="s">
        <v>252</v>
      </c>
      <c r="G1256">
        <v>-8200</v>
      </c>
      <c r="H1256" t="s">
        <v>170</v>
      </c>
      <c r="I1256" t="s">
        <v>253</v>
      </c>
    </row>
    <row r="1257" spans="1:9">
      <c r="A1257" s="50">
        <v>45824</v>
      </c>
      <c r="B1257" s="51">
        <v>0.5074189814814815</v>
      </c>
      <c r="C1257" t="s">
        <v>167</v>
      </c>
      <c r="D1257" t="s">
        <v>42</v>
      </c>
      <c r="E1257" t="s">
        <v>338</v>
      </c>
      <c r="F1257" t="s">
        <v>339</v>
      </c>
      <c r="G1257">
        <v>-99000</v>
      </c>
      <c r="H1257" t="s">
        <v>170</v>
      </c>
      <c r="I1257" t="s">
        <v>187</v>
      </c>
    </row>
    <row r="1258" spans="1:9">
      <c r="A1258" s="50">
        <v>45824</v>
      </c>
      <c r="B1258" s="51">
        <v>0.4572569444444444</v>
      </c>
      <c r="C1258" t="s">
        <v>167</v>
      </c>
      <c r="D1258" t="s">
        <v>46</v>
      </c>
      <c r="E1258" t="s">
        <v>168</v>
      </c>
      <c r="F1258" t="s">
        <v>418</v>
      </c>
      <c r="G1258">
        <v>-2900</v>
      </c>
      <c r="H1258" t="s">
        <v>170</v>
      </c>
      <c r="I1258" t="s">
        <v>171</v>
      </c>
    </row>
    <row r="1259" spans="1:9">
      <c r="A1259" s="50">
        <v>45824</v>
      </c>
      <c r="B1259" s="51">
        <v>0.1334837962962963</v>
      </c>
      <c r="C1259" t="s">
        <v>172</v>
      </c>
      <c r="D1259" t="s">
        <v>200</v>
      </c>
      <c r="E1259" t="s">
        <v>173</v>
      </c>
      <c r="F1259" t="s">
        <v>201</v>
      </c>
      <c r="G1259">
        <v>-851976</v>
      </c>
      <c r="H1259" t="s">
        <v>170</v>
      </c>
      <c r="I1259" t="s">
        <v>61</v>
      </c>
    </row>
    <row r="1260" spans="1:9">
      <c r="A1260" s="50">
        <v>45823</v>
      </c>
      <c r="B1260" s="51">
        <v>0.7210185185185185</v>
      </c>
      <c r="C1260" t="s">
        <v>167</v>
      </c>
      <c r="D1260" t="s">
        <v>42</v>
      </c>
      <c r="E1260" t="s">
        <v>235</v>
      </c>
      <c r="F1260" t="s">
        <v>477</v>
      </c>
      <c r="G1260">
        <v>-39900</v>
      </c>
      <c r="H1260" t="s">
        <v>170</v>
      </c>
      <c r="I1260" t="s">
        <v>187</v>
      </c>
    </row>
    <row r="1261" spans="1:9">
      <c r="A1261" s="50">
        <v>45823</v>
      </c>
      <c r="B1261" s="51">
        <v>0.6681134259259259</v>
      </c>
      <c r="C1261" t="s">
        <v>167</v>
      </c>
      <c r="D1261" t="s">
        <v>46</v>
      </c>
      <c r="E1261" t="s">
        <v>219</v>
      </c>
      <c r="F1261" t="s">
        <v>445</v>
      </c>
      <c r="G1261">
        <v>-5800</v>
      </c>
      <c r="H1261" t="s">
        <v>170</v>
      </c>
      <c r="I1261" t="s">
        <v>171</v>
      </c>
    </row>
    <row r="1262" spans="1:9">
      <c r="A1262" s="50">
        <v>45823</v>
      </c>
      <c r="B1262" s="51">
        <v>0.5117592592592592</v>
      </c>
      <c r="C1262" t="s">
        <v>172</v>
      </c>
      <c r="D1262" t="s">
        <v>190</v>
      </c>
      <c r="E1262" t="s">
        <v>173</v>
      </c>
      <c r="F1262" t="s">
        <v>449</v>
      </c>
      <c r="G1262">
        <v>2596</v>
      </c>
      <c r="H1262" t="s">
        <v>170</v>
      </c>
      <c r="I1262" t="s">
        <v>59</v>
      </c>
    </row>
    <row r="1263" spans="1:9">
      <c r="A1263" s="50">
        <v>45823</v>
      </c>
      <c r="B1263" s="51">
        <v>0.1527199074074074</v>
      </c>
      <c r="C1263" t="s">
        <v>167</v>
      </c>
      <c r="D1263" t="s">
        <v>42</v>
      </c>
      <c r="E1263" t="s">
        <v>235</v>
      </c>
      <c r="F1263" t="s">
        <v>242</v>
      </c>
      <c r="G1263">
        <v>-15200</v>
      </c>
      <c r="H1263" t="s">
        <v>170</v>
      </c>
      <c r="I1263" t="s">
        <v>243</v>
      </c>
    </row>
    <row r="1264" spans="1:9">
      <c r="A1264" s="50">
        <v>45823</v>
      </c>
      <c r="B1264" s="51">
        <v>0.1353703703703704</v>
      </c>
      <c r="C1264" t="s">
        <v>167</v>
      </c>
      <c r="D1264" t="s">
        <v>42</v>
      </c>
      <c r="E1264" t="s">
        <v>235</v>
      </c>
      <c r="F1264" t="s">
        <v>242</v>
      </c>
      <c r="G1264">
        <v>4000</v>
      </c>
      <c r="H1264" t="s">
        <v>170</v>
      </c>
      <c r="I1264" t="s">
        <v>243</v>
      </c>
    </row>
    <row r="1265" spans="1:9">
      <c r="A1265" s="50">
        <v>45822</v>
      </c>
      <c r="B1265" s="51">
        <v>0.4708101851851852</v>
      </c>
      <c r="C1265" t="s">
        <v>167</v>
      </c>
      <c r="D1265" t="s">
        <v>42</v>
      </c>
      <c r="E1265" t="s">
        <v>235</v>
      </c>
      <c r="F1265" t="s">
        <v>242</v>
      </c>
      <c r="G1265">
        <v>-4000</v>
      </c>
      <c r="H1265" t="s">
        <v>170</v>
      </c>
      <c r="I1265" t="s">
        <v>243</v>
      </c>
    </row>
    <row r="1266" spans="1:9">
      <c r="A1266" s="50">
        <v>45821</v>
      </c>
      <c r="B1266" s="51">
        <v>0.9767592592592592</v>
      </c>
      <c r="C1266" t="s">
        <v>167</v>
      </c>
      <c r="D1266" t="s">
        <v>42</v>
      </c>
      <c r="E1266" t="s">
        <v>235</v>
      </c>
      <c r="F1266" t="s">
        <v>353</v>
      </c>
      <c r="G1266">
        <v>-152600</v>
      </c>
      <c r="H1266" t="s">
        <v>170</v>
      </c>
      <c r="I1266" t="s">
        <v>187</v>
      </c>
    </row>
    <row r="1267" spans="1:9">
      <c r="A1267" s="50">
        <v>45821</v>
      </c>
      <c r="B1267" s="51">
        <v>0.9705092592592592</v>
      </c>
      <c r="C1267" t="s">
        <v>167</v>
      </c>
      <c r="D1267" t="s">
        <v>38</v>
      </c>
      <c r="E1267" t="s">
        <v>181</v>
      </c>
      <c r="F1267" t="s">
        <v>192</v>
      </c>
      <c r="G1267">
        <v>-1500</v>
      </c>
      <c r="H1267" t="s">
        <v>170</v>
      </c>
      <c r="I1267" t="s">
        <v>171</v>
      </c>
    </row>
    <row r="1268" spans="1:9">
      <c r="A1268" s="50">
        <v>45821</v>
      </c>
      <c r="B1268" s="51">
        <v>0.9583796296296296</v>
      </c>
      <c r="C1268" t="s">
        <v>167</v>
      </c>
      <c r="D1268" t="s">
        <v>39</v>
      </c>
      <c r="E1268" t="s">
        <v>358</v>
      </c>
      <c r="F1268" t="s">
        <v>359</v>
      </c>
      <c r="G1268">
        <v>-32800</v>
      </c>
      <c r="H1268" t="s">
        <v>170</v>
      </c>
      <c r="I1268" t="s">
        <v>171</v>
      </c>
    </row>
    <row r="1269" spans="1:9">
      <c r="A1269" s="50">
        <v>45821</v>
      </c>
      <c r="B1269" s="51">
        <v>0.4853356481481482</v>
      </c>
      <c r="C1269" t="s">
        <v>167</v>
      </c>
      <c r="D1269" t="s">
        <v>38</v>
      </c>
      <c r="E1269" t="s">
        <v>181</v>
      </c>
      <c r="F1269" t="s">
        <v>428</v>
      </c>
      <c r="G1269">
        <v>-4900</v>
      </c>
      <c r="H1269" t="s">
        <v>170</v>
      </c>
      <c r="I1269" t="s">
        <v>171</v>
      </c>
    </row>
    <row r="1270" spans="1:9">
      <c r="A1270" s="50">
        <v>45821</v>
      </c>
      <c r="B1270" s="51">
        <v>0.4719444444444444</v>
      </c>
      <c r="C1270" t="s">
        <v>167</v>
      </c>
      <c r="D1270" t="s">
        <v>40</v>
      </c>
      <c r="E1270" t="s">
        <v>244</v>
      </c>
      <c r="F1270" t="s">
        <v>614</v>
      </c>
      <c r="G1270">
        <v>-12600</v>
      </c>
      <c r="H1270" t="s">
        <v>170</v>
      </c>
      <c r="I1270" t="s">
        <v>171</v>
      </c>
    </row>
    <row r="1271" spans="1:9">
      <c r="A1271" s="50">
        <v>45821</v>
      </c>
      <c r="B1271" s="51">
        <v>0</v>
      </c>
      <c r="C1271" t="s">
        <v>167</v>
      </c>
      <c r="D1271" t="s">
        <v>33</v>
      </c>
      <c r="E1271" t="s">
        <v>385</v>
      </c>
      <c r="F1271" t="s">
        <v>386</v>
      </c>
      <c r="G1271">
        <v>48800</v>
      </c>
      <c r="H1271" t="s">
        <v>170</v>
      </c>
      <c r="I1271" t="s">
        <v>237</v>
      </c>
    </row>
    <row r="1272" spans="1:9">
      <c r="A1272" s="50">
        <v>45820</v>
      </c>
      <c r="B1272" s="51">
        <v>0.8552314814814815</v>
      </c>
      <c r="C1272" t="s">
        <v>167</v>
      </c>
      <c r="D1272" t="s">
        <v>38</v>
      </c>
      <c r="E1272" t="s">
        <v>181</v>
      </c>
      <c r="F1272" t="s">
        <v>619</v>
      </c>
      <c r="G1272">
        <v>-4600</v>
      </c>
      <c r="H1272" t="s">
        <v>170</v>
      </c>
      <c r="I1272" t="s">
        <v>171</v>
      </c>
    </row>
    <row r="1273" spans="1:9">
      <c r="A1273" s="50">
        <v>45820</v>
      </c>
      <c r="B1273" s="51">
        <v>0.8491898148148148</v>
      </c>
      <c r="C1273" t="s">
        <v>167</v>
      </c>
      <c r="D1273" t="s">
        <v>40</v>
      </c>
      <c r="E1273" t="s">
        <v>176</v>
      </c>
      <c r="F1273" t="s">
        <v>645</v>
      </c>
      <c r="G1273">
        <v>-8800</v>
      </c>
      <c r="H1273" t="s">
        <v>170</v>
      </c>
      <c r="I1273" t="s">
        <v>171</v>
      </c>
    </row>
    <row r="1274" spans="1:9">
      <c r="A1274" s="50">
        <v>45820</v>
      </c>
      <c r="B1274" s="51">
        <v>0.5239583333333333</v>
      </c>
      <c r="C1274" t="s">
        <v>167</v>
      </c>
      <c r="D1274" t="s">
        <v>46</v>
      </c>
      <c r="E1274" t="s">
        <v>168</v>
      </c>
      <c r="F1274" t="s">
        <v>623</v>
      </c>
      <c r="G1274">
        <v>-2000</v>
      </c>
      <c r="H1274" t="s">
        <v>170</v>
      </c>
      <c r="I1274" t="s">
        <v>171</v>
      </c>
    </row>
    <row r="1275" spans="1:9">
      <c r="A1275" s="50">
        <v>45820</v>
      </c>
      <c r="B1275" s="51">
        <v>0.5229976851851852</v>
      </c>
      <c r="C1275" t="s">
        <v>167</v>
      </c>
      <c r="D1275" t="s">
        <v>40</v>
      </c>
      <c r="E1275" t="s">
        <v>176</v>
      </c>
      <c r="F1275" t="s">
        <v>645</v>
      </c>
      <c r="G1275">
        <v>-8000</v>
      </c>
      <c r="H1275" t="s">
        <v>170</v>
      </c>
      <c r="I1275" t="s">
        <v>171</v>
      </c>
    </row>
    <row r="1276" spans="1:9">
      <c r="A1276" s="50">
        <v>45820</v>
      </c>
      <c r="B1276" s="51">
        <v>0.06768518518518518</v>
      </c>
      <c r="C1276" t="s">
        <v>167</v>
      </c>
      <c r="D1276" t="s">
        <v>33</v>
      </c>
      <c r="E1276" t="s">
        <v>385</v>
      </c>
      <c r="F1276" t="s">
        <v>386</v>
      </c>
      <c r="G1276">
        <v>-56800</v>
      </c>
      <c r="H1276" t="s">
        <v>170</v>
      </c>
      <c r="I1276" t="s">
        <v>237</v>
      </c>
    </row>
    <row r="1277" spans="1:9">
      <c r="A1277" s="50">
        <v>45820</v>
      </c>
      <c r="B1277" s="51">
        <v>0</v>
      </c>
      <c r="C1277" t="s">
        <v>167</v>
      </c>
      <c r="D1277" t="s">
        <v>33</v>
      </c>
      <c r="E1277" t="s">
        <v>385</v>
      </c>
      <c r="F1277" t="s">
        <v>386</v>
      </c>
      <c r="G1277">
        <v>59800</v>
      </c>
      <c r="H1277" t="s">
        <v>170</v>
      </c>
      <c r="I1277" t="s">
        <v>237</v>
      </c>
    </row>
    <row r="1278" spans="1:9">
      <c r="A1278" s="50">
        <v>45819</v>
      </c>
      <c r="B1278" s="51">
        <v>0.8273726851851851</v>
      </c>
      <c r="C1278" t="s">
        <v>167</v>
      </c>
      <c r="D1278" t="s">
        <v>33</v>
      </c>
      <c r="E1278" t="s">
        <v>385</v>
      </c>
      <c r="F1278" t="s">
        <v>386</v>
      </c>
      <c r="G1278">
        <v>-48800</v>
      </c>
      <c r="H1278" t="s">
        <v>170</v>
      </c>
      <c r="I1278" t="s">
        <v>237</v>
      </c>
    </row>
    <row r="1279" spans="1:9">
      <c r="A1279" s="50">
        <v>45819</v>
      </c>
      <c r="B1279" s="51">
        <v>0.7642824074074074</v>
      </c>
      <c r="C1279" t="s">
        <v>167</v>
      </c>
      <c r="D1279" t="s">
        <v>38</v>
      </c>
      <c r="E1279" t="s">
        <v>259</v>
      </c>
      <c r="F1279" t="s">
        <v>585</v>
      </c>
      <c r="G1279">
        <v>-2600</v>
      </c>
      <c r="H1279" t="s">
        <v>170</v>
      </c>
      <c r="I1279" t="s">
        <v>171</v>
      </c>
    </row>
    <row r="1280" spans="1:9">
      <c r="A1280" s="50">
        <v>45819</v>
      </c>
      <c r="B1280" s="51">
        <v>0.7504861111111111</v>
      </c>
      <c r="C1280" t="s">
        <v>172</v>
      </c>
      <c r="D1280" t="s">
        <v>195</v>
      </c>
      <c r="E1280" t="s">
        <v>173</v>
      </c>
      <c r="F1280" t="s">
        <v>7</v>
      </c>
      <c r="G1280">
        <v>700000</v>
      </c>
      <c r="H1280" t="s">
        <v>170</v>
      </c>
      <c r="I1280" t="s">
        <v>67</v>
      </c>
    </row>
    <row r="1281" spans="1:9">
      <c r="A1281" s="50">
        <v>45819</v>
      </c>
      <c r="B1281" s="51">
        <v>0.7504861111111111</v>
      </c>
      <c r="C1281" t="s">
        <v>172</v>
      </c>
      <c r="D1281" t="s">
        <v>195</v>
      </c>
      <c r="E1281" t="s">
        <v>173</v>
      </c>
      <c r="F1281" t="s">
        <v>646</v>
      </c>
      <c r="G1281">
        <v>-700000</v>
      </c>
      <c r="H1281" t="s">
        <v>170</v>
      </c>
      <c r="I1281" t="s">
        <v>59</v>
      </c>
    </row>
    <row r="1282" spans="1:9">
      <c r="A1282" s="50">
        <v>45819</v>
      </c>
      <c r="B1282" s="51">
        <v>0.01083333333333333</v>
      </c>
      <c r="C1282" t="s">
        <v>172</v>
      </c>
      <c r="D1282" t="s">
        <v>172</v>
      </c>
      <c r="E1282" t="s">
        <v>173</v>
      </c>
      <c r="F1282" t="s">
        <v>202</v>
      </c>
      <c r="G1282">
        <v>-11960</v>
      </c>
      <c r="H1282" t="s">
        <v>170</v>
      </c>
      <c r="I1282" t="s">
        <v>60</v>
      </c>
    </row>
    <row r="1283" spans="1:9">
      <c r="A1283" s="50">
        <v>45818</v>
      </c>
      <c r="B1283" s="51">
        <v>0.7015625</v>
      </c>
      <c r="C1283" t="s">
        <v>167</v>
      </c>
      <c r="D1283" t="s">
        <v>40</v>
      </c>
      <c r="E1283" t="s">
        <v>261</v>
      </c>
      <c r="F1283" t="s">
        <v>262</v>
      </c>
      <c r="G1283">
        <v>-27000</v>
      </c>
      <c r="H1283" t="s">
        <v>170</v>
      </c>
      <c r="I1283" t="s">
        <v>243</v>
      </c>
    </row>
    <row r="1284" spans="1:9">
      <c r="A1284" s="50">
        <v>45818</v>
      </c>
      <c r="B1284" s="51">
        <v>0.5201851851851852</v>
      </c>
      <c r="C1284" t="s">
        <v>233</v>
      </c>
      <c r="D1284" t="s">
        <v>28</v>
      </c>
      <c r="E1284" t="s">
        <v>173</v>
      </c>
      <c r="F1284" t="s">
        <v>628</v>
      </c>
      <c r="G1284">
        <v>65</v>
      </c>
      <c r="H1284" t="s">
        <v>170</v>
      </c>
      <c r="I1284" t="s">
        <v>60</v>
      </c>
    </row>
    <row r="1285" spans="1:9">
      <c r="A1285" s="50">
        <v>45817</v>
      </c>
      <c r="B1285" s="51">
        <v>0.8861226851851852</v>
      </c>
      <c r="C1285" t="s">
        <v>167</v>
      </c>
      <c r="D1285" t="s">
        <v>46</v>
      </c>
      <c r="E1285" t="s">
        <v>168</v>
      </c>
      <c r="F1285" t="s">
        <v>647</v>
      </c>
      <c r="G1285">
        <v>-7700</v>
      </c>
      <c r="H1285" t="s">
        <v>170</v>
      </c>
      <c r="I1285" t="s">
        <v>171</v>
      </c>
    </row>
    <row r="1286" spans="1:9">
      <c r="A1286" s="50">
        <v>45817</v>
      </c>
      <c r="B1286" s="51">
        <v>0.5897916666666667</v>
      </c>
      <c r="C1286" t="s">
        <v>172</v>
      </c>
      <c r="D1286" t="s">
        <v>172</v>
      </c>
      <c r="E1286" t="s">
        <v>173</v>
      </c>
      <c r="F1286" t="s">
        <v>202</v>
      </c>
      <c r="G1286">
        <v>-9690</v>
      </c>
      <c r="H1286" t="s">
        <v>170</v>
      </c>
      <c r="I1286" t="s">
        <v>60</v>
      </c>
    </row>
    <row r="1287" spans="1:9">
      <c r="A1287" s="50">
        <v>45817</v>
      </c>
      <c r="B1287" s="51">
        <v>0.2586574074074074</v>
      </c>
      <c r="C1287" t="s">
        <v>167</v>
      </c>
      <c r="D1287" t="s">
        <v>33</v>
      </c>
      <c r="E1287" t="s">
        <v>282</v>
      </c>
      <c r="F1287" t="s">
        <v>648</v>
      </c>
      <c r="G1287">
        <v>-4650</v>
      </c>
      <c r="H1287" t="s">
        <v>170</v>
      </c>
      <c r="I1287" t="s">
        <v>243</v>
      </c>
    </row>
    <row r="1288" spans="1:9">
      <c r="A1288" s="50">
        <v>45816</v>
      </c>
      <c r="B1288" s="51">
        <v>0.9546990740740741</v>
      </c>
      <c r="C1288" t="s">
        <v>172</v>
      </c>
      <c r="D1288" t="s">
        <v>172</v>
      </c>
      <c r="E1288" t="s">
        <v>173</v>
      </c>
      <c r="F1288" t="s">
        <v>202</v>
      </c>
      <c r="G1288">
        <v>-25220</v>
      </c>
      <c r="H1288" t="s">
        <v>170</v>
      </c>
      <c r="I1288" t="s">
        <v>60</v>
      </c>
    </row>
    <row r="1289" spans="1:9">
      <c r="A1289" s="50">
        <v>45816</v>
      </c>
      <c r="B1289" s="51">
        <v>0.8094560185185186</v>
      </c>
      <c r="C1289" t="s">
        <v>167</v>
      </c>
      <c r="D1289" t="s">
        <v>46</v>
      </c>
      <c r="E1289" t="s">
        <v>168</v>
      </c>
      <c r="F1289" t="s">
        <v>649</v>
      </c>
      <c r="G1289">
        <v>-9500</v>
      </c>
      <c r="H1289" t="s">
        <v>170</v>
      </c>
      <c r="I1289" t="s">
        <v>171</v>
      </c>
    </row>
    <row r="1290" spans="1:9">
      <c r="A1290" s="50">
        <v>45816</v>
      </c>
      <c r="B1290" s="51">
        <v>0.7499652777777778</v>
      </c>
      <c r="C1290" t="s">
        <v>172</v>
      </c>
      <c r="D1290" t="s">
        <v>172</v>
      </c>
      <c r="E1290" t="s">
        <v>173</v>
      </c>
      <c r="F1290" t="s">
        <v>202</v>
      </c>
      <c r="G1290">
        <v>-11980</v>
      </c>
      <c r="H1290" t="s">
        <v>170</v>
      </c>
      <c r="I1290" t="s">
        <v>60</v>
      </c>
    </row>
    <row r="1291" spans="1:9">
      <c r="A1291" s="50">
        <v>45815</v>
      </c>
      <c r="B1291" s="51">
        <v>0.9929282407407407</v>
      </c>
      <c r="C1291" t="s">
        <v>167</v>
      </c>
      <c r="D1291" t="s">
        <v>38</v>
      </c>
      <c r="E1291" t="s">
        <v>181</v>
      </c>
      <c r="F1291" t="s">
        <v>619</v>
      </c>
      <c r="G1291">
        <v>-2100</v>
      </c>
      <c r="H1291" t="s">
        <v>170</v>
      </c>
      <c r="I1291" t="s">
        <v>171</v>
      </c>
    </row>
    <row r="1292" spans="1:9">
      <c r="A1292" s="50">
        <v>45815</v>
      </c>
      <c r="B1292" s="51">
        <v>0.9847222222222223</v>
      </c>
      <c r="C1292" t="s">
        <v>167</v>
      </c>
      <c r="D1292" t="s">
        <v>40</v>
      </c>
      <c r="E1292" t="s">
        <v>383</v>
      </c>
      <c r="F1292" t="s">
        <v>650</v>
      </c>
      <c r="G1292">
        <v>-43700</v>
      </c>
      <c r="H1292" t="s">
        <v>170</v>
      </c>
      <c r="I1292" t="s">
        <v>171</v>
      </c>
    </row>
    <row r="1293" spans="1:9">
      <c r="A1293" s="50">
        <v>45815</v>
      </c>
      <c r="B1293" s="51">
        <v>0.7704050925925926</v>
      </c>
      <c r="C1293" t="s">
        <v>167</v>
      </c>
      <c r="D1293" t="s">
        <v>40</v>
      </c>
      <c r="E1293" t="s">
        <v>261</v>
      </c>
      <c r="F1293" t="s">
        <v>262</v>
      </c>
      <c r="G1293">
        <v>-20805</v>
      </c>
      <c r="H1293" t="s">
        <v>170</v>
      </c>
      <c r="I1293" t="s">
        <v>243</v>
      </c>
    </row>
    <row r="1294" spans="1:9">
      <c r="A1294" s="50">
        <v>45815</v>
      </c>
      <c r="B1294" s="51">
        <v>0.5355671296296296</v>
      </c>
      <c r="C1294" t="s">
        <v>167</v>
      </c>
      <c r="D1294" t="s">
        <v>46</v>
      </c>
      <c r="E1294" t="s">
        <v>423</v>
      </c>
      <c r="F1294" t="s">
        <v>651</v>
      </c>
      <c r="G1294">
        <v>-3100</v>
      </c>
      <c r="H1294" t="s">
        <v>170</v>
      </c>
      <c r="I1294" t="s">
        <v>171</v>
      </c>
    </row>
    <row r="1295" spans="1:9">
      <c r="A1295" s="50">
        <v>45815</v>
      </c>
      <c r="B1295" s="51">
        <v>0.5325</v>
      </c>
      <c r="C1295" t="s">
        <v>167</v>
      </c>
      <c r="D1295" t="s">
        <v>43</v>
      </c>
      <c r="E1295" t="s">
        <v>203</v>
      </c>
      <c r="F1295" t="s">
        <v>615</v>
      </c>
      <c r="G1295">
        <v>-9000</v>
      </c>
      <c r="H1295" t="s">
        <v>170</v>
      </c>
      <c r="I1295" t="s">
        <v>171</v>
      </c>
    </row>
    <row r="1296" spans="1:9">
      <c r="A1296" s="50">
        <v>45814</v>
      </c>
      <c r="B1296" s="51">
        <v>0.6159606481481481</v>
      </c>
      <c r="C1296" t="s">
        <v>167</v>
      </c>
      <c r="D1296" t="s">
        <v>33</v>
      </c>
      <c r="E1296" t="s">
        <v>385</v>
      </c>
      <c r="F1296" t="s">
        <v>386</v>
      </c>
      <c r="G1296">
        <v>-59800</v>
      </c>
      <c r="H1296" t="s">
        <v>170</v>
      </c>
      <c r="I1296" t="s">
        <v>237</v>
      </c>
    </row>
    <row r="1297" spans="1:9">
      <c r="A1297" s="50">
        <v>45814</v>
      </c>
      <c r="B1297" s="51">
        <v>0.2827546296296296</v>
      </c>
      <c r="C1297" t="s">
        <v>167</v>
      </c>
      <c r="D1297" t="s">
        <v>35</v>
      </c>
      <c r="E1297" t="s">
        <v>197</v>
      </c>
      <c r="F1297" t="s">
        <v>198</v>
      </c>
      <c r="G1297">
        <v>-12000</v>
      </c>
      <c r="H1297" t="s">
        <v>170</v>
      </c>
      <c r="I1297" t="s">
        <v>199</v>
      </c>
    </row>
    <row r="1298" spans="1:9">
      <c r="A1298" s="50">
        <v>45813</v>
      </c>
      <c r="B1298" s="51">
        <v>0.8674884259259259</v>
      </c>
      <c r="C1298" t="s">
        <v>167</v>
      </c>
      <c r="D1298" t="s">
        <v>42</v>
      </c>
      <c r="E1298" t="s">
        <v>188</v>
      </c>
      <c r="F1298" t="s">
        <v>231</v>
      </c>
      <c r="G1298">
        <v>-14900</v>
      </c>
      <c r="H1298" t="s">
        <v>170</v>
      </c>
      <c r="I1298" t="s">
        <v>187</v>
      </c>
    </row>
    <row r="1299" spans="1:9">
      <c r="A1299" s="50">
        <v>45813</v>
      </c>
      <c r="B1299" s="51">
        <v>0.4497222222222222</v>
      </c>
      <c r="C1299" t="s">
        <v>167</v>
      </c>
      <c r="D1299" t="s">
        <v>42</v>
      </c>
      <c r="E1299" t="s">
        <v>188</v>
      </c>
      <c r="F1299" t="s">
        <v>320</v>
      </c>
      <c r="G1299">
        <v>-7890</v>
      </c>
      <c r="H1299" t="s">
        <v>170</v>
      </c>
      <c r="I1299" t="s">
        <v>243</v>
      </c>
    </row>
    <row r="1300" spans="1:9">
      <c r="A1300" s="50">
        <v>45812</v>
      </c>
      <c r="B1300" s="51">
        <v>0.9929629629629629</v>
      </c>
      <c r="C1300" t="s">
        <v>167</v>
      </c>
      <c r="D1300" t="s">
        <v>40</v>
      </c>
      <c r="E1300" t="s">
        <v>261</v>
      </c>
      <c r="F1300" t="s">
        <v>262</v>
      </c>
      <c r="G1300">
        <v>-30500</v>
      </c>
      <c r="H1300" t="s">
        <v>170</v>
      </c>
      <c r="I1300" t="s">
        <v>243</v>
      </c>
    </row>
    <row r="1301" spans="1:9">
      <c r="A1301" s="50">
        <v>45812</v>
      </c>
      <c r="B1301" s="51">
        <v>0.7736689814814814</v>
      </c>
      <c r="C1301" t="s">
        <v>167</v>
      </c>
      <c r="D1301" t="s">
        <v>38</v>
      </c>
      <c r="E1301" t="s">
        <v>259</v>
      </c>
      <c r="F1301" t="s">
        <v>585</v>
      </c>
      <c r="G1301">
        <v>-9000</v>
      </c>
      <c r="H1301" t="s">
        <v>170</v>
      </c>
      <c r="I1301" t="s">
        <v>171</v>
      </c>
    </row>
    <row r="1302" spans="1:9">
      <c r="A1302" s="50">
        <v>45812</v>
      </c>
      <c r="B1302" s="51">
        <v>0.7717013888888888</v>
      </c>
      <c r="C1302" t="s">
        <v>167</v>
      </c>
      <c r="D1302" t="s">
        <v>40</v>
      </c>
      <c r="E1302" t="s">
        <v>356</v>
      </c>
      <c r="F1302" t="s">
        <v>652</v>
      </c>
      <c r="G1302">
        <v>-11200</v>
      </c>
      <c r="H1302" t="s">
        <v>170</v>
      </c>
      <c r="I1302" t="s">
        <v>426</v>
      </c>
    </row>
    <row r="1303" spans="1:9">
      <c r="A1303" s="50">
        <v>45812</v>
      </c>
      <c r="B1303" s="51">
        <v>0.05646990740740741</v>
      </c>
      <c r="C1303" t="s">
        <v>167</v>
      </c>
      <c r="D1303" t="s">
        <v>42</v>
      </c>
      <c r="E1303" t="s">
        <v>188</v>
      </c>
      <c r="F1303" t="s">
        <v>252</v>
      </c>
      <c r="G1303">
        <v>-13500</v>
      </c>
      <c r="H1303" t="s">
        <v>170</v>
      </c>
      <c r="I1303" t="s">
        <v>253</v>
      </c>
    </row>
    <row r="1304" spans="1:9">
      <c r="A1304" s="50">
        <v>45812</v>
      </c>
      <c r="B1304" s="51">
        <v>0.03475694444444444</v>
      </c>
      <c r="C1304" t="s">
        <v>172</v>
      </c>
      <c r="D1304" t="s">
        <v>172</v>
      </c>
      <c r="E1304" t="s">
        <v>173</v>
      </c>
      <c r="F1304" t="s">
        <v>202</v>
      </c>
      <c r="G1304">
        <v>-26000</v>
      </c>
      <c r="H1304" t="s">
        <v>170</v>
      </c>
      <c r="I1304" t="s">
        <v>60</v>
      </c>
    </row>
    <row r="1305" spans="1:9">
      <c r="A1305" s="50">
        <v>45811</v>
      </c>
      <c r="B1305" s="51">
        <v>0.7606712962962963</v>
      </c>
      <c r="C1305" t="s">
        <v>172</v>
      </c>
      <c r="D1305" t="s">
        <v>172</v>
      </c>
      <c r="E1305" t="s">
        <v>173</v>
      </c>
      <c r="F1305" t="s">
        <v>202</v>
      </c>
      <c r="G1305">
        <v>-5950</v>
      </c>
      <c r="H1305" t="s">
        <v>170</v>
      </c>
      <c r="I1305" t="s">
        <v>60</v>
      </c>
    </row>
    <row r="1306" spans="1:9">
      <c r="A1306" s="50">
        <v>45811</v>
      </c>
      <c r="B1306" s="51">
        <v>0.5335185185185185</v>
      </c>
      <c r="C1306" t="s">
        <v>167</v>
      </c>
      <c r="D1306" t="s">
        <v>40</v>
      </c>
      <c r="E1306" t="s">
        <v>630</v>
      </c>
      <c r="F1306" t="s">
        <v>653</v>
      </c>
      <c r="G1306">
        <v>-51000</v>
      </c>
      <c r="H1306" t="s">
        <v>170</v>
      </c>
      <c r="I1306" t="s">
        <v>187</v>
      </c>
    </row>
    <row r="1307" spans="1:9">
      <c r="A1307" s="50">
        <v>45811</v>
      </c>
      <c r="B1307" s="51">
        <v>0.09224537037037037</v>
      </c>
      <c r="C1307" t="s">
        <v>167</v>
      </c>
      <c r="D1307" t="s">
        <v>42</v>
      </c>
      <c r="E1307" t="s">
        <v>217</v>
      </c>
      <c r="F1307" t="s">
        <v>599</v>
      </c>
      <c r="G1307">
        <v>-53200</v>
      </c>
      <c r="H1307" t="s">
        <v>170</v>
      </c>
      <c r="I1307" t="s">
        <v>237</v>
      </c>
    </row>
    <row r="1308" spans="1:9">
      <c r="A1308" s="50">
        <v>45811</v>
      </c>
      <c r="B1308" s="51">
        <v>0.04148148148148148</v>
      </c>
      <c r="C1308" t="s">
        <v>172</v>
      </c>
      <c r="D1308" t="s">
        <v>172</v>
      </c>
      <c r="E1308" t="s">
        <v>173</v>
      </c>
      <c r="F1308" t="s">
        <v>202</v>
      </c>
      <c r="G1308">
        <v>-4930</v>
      </c>
      <c r="H1308" t="s">
        <v>170</v>
      </c>
      <c r="I1308" t="s">
        <v>60</v>
      </c>
    </row>
    <row r="1309" spans="1:9">
      <c r="A1309" s="50">
        <v>45811</v>
      </c>
      <c r="B1309" s="51">
        <v>0.004456018518518519</v>
      </c>
      <c r="C1309" t="s">
        <v>167</v>
      </c>
      <c r="D1309" t="s">
        <v>38</v>
      </c>
      <c r="E1309" t="s">
        <v>181</v>
      </c>
      <c r="F1309" t="s">
        <v>619</v>
      </c>
      <c r="G1309">
        <v>-4800</v>
      </c>
      <c r="H1309" t="s">
        <v>170</v>
      </c>
      <c r="I1309" t="s">
        <v>171</v>
      </c>
    </row>
    <row r="1310" spans="1:9">
      <c r="A1310" s="50">
        <v>45810</v>
      </c>
      <c r="B1310" s="51">
        <v>0</v>
      </c>
      <c r="C1310" t="s">
        <v>167</v>
      </c>
      <c r="D1310" t="s">
        <v>35</v>
      </c>
      <c r="E1310" t="s">
        <v>293</v>
      </c>
      <c r="F1310" t="s">
        <v>654</v>
      </c>
      <c r="G1310">
        <v>24000</v>
      </c>
      <c r="H1310" t="s">
        <v>170</v>
      </c>
      <c r="I1310" t="s">
        <v>237</v>
      </c>
    </row>
    <row r="1311" spans="1:9">
      <c r="A1311" s="50">
        <v>45809</v>
      </c>
      <c r="B1311" s="51">
        <v>0.833113425925926</v>
      </c>
      <c r="C1311" t="s">
        <v>167</v>
      </c>
      <c r="D1311" t="s">
        <v>40</v>
      </c>
      <c r="E1311" t="s">
        <v>261</v>
      </c>
      <c r="F1311" t="s">
        <v>262</v>
      </c>
      <c r="G1311">
        <v>-27600</v>
      </c>
      <c r="H1311" t="s">
        <v>170</v>
      </c>
      <c r="I1311" t="s">
        <v>243</v>
      </c>
    </row>
    <row r="1312" spans="1:9">
      <c r="A1312" s="50">
        <v>45809</v>
      </c>
      <c r="B1312" s="51">
        <v>0.8144791666666666</v>
      </c>
      <c r="C1312" t="s">
        <v>167</v>
      </c>
      <c r="D1312" t="s">
        <v>47</v>
      </c>
      <c r="E1312" t="s">
        <v>238</v>
      </c>
      <c r="F1312" t="s">
        <v>655</v>
      </c>
      <c r="G1312">
        <v>-51900</v>
      </c>
      <c r="H1312" t="s">
        <v>170</v>
      </c>
      <c r="I1312" t="s">
        <v>171</v>
      </c>
    </row>
    <row r="1313" spans="1:9">
      <c r="A1313" s="50">
        <v>45809</v>
      </c>
      <c r="B1313" s="51">
        <v>0.7103472222222222</v>
      </c>
      <c r="C1313" t="s">
        <v>167</v>
      </c>
      <c r="D1313" t="s">
        <v>35</v>
      </c>
      <c r="E1313" t="s">
        <v>293</v>
      </c>
      <c r="F1313" t="s">
        <v>656</v>
      </c>
      <c r="G1313">
        <v>-7000</v>
      </c>
      <c r="H1313" t="s">
        <v>170</v>
      </c>
      <c r="I1313" t="s">
        <v>171</v>
      </c>
    </row>
    <row r="1314" spans="1:9">
      <c r="A1314" s="50">
        <v>45809</v>
      </c>
      <c r="B1314" s="51">
        <v>0.6570949074074074</v>
      </c>
      <c r="C1314" t="s">
        <v>167</v>
      </c>
      <c r="D1314" t="s">
        <v>35</v>
      </c>
      <c r="E1314" t="s">
        <v>527</v>
      </c>
      <c r="F1314" t="s">
        <v>657</v>
      </c>
      <c r="G1314">
        <v>-1000</v>
      </c>
      <c r="H1314" t="s">
        <v>170</v>
      </c>
      <c r="I1314" t="s">
        <v>171</v>
      </c>
    </row>
    <row r="1315" spans="1:9">
      <c r="A1315" s="50">
        <v>45809</v>
      </c>
      <c r="B1315" s="51">
        <v>0.6568402777777778</v>
      </c>
      <c r="C1315" t="s">
        <v>167</v>
      </c>
      <c r="D1315" t="s">
        <v>35</v>
      </c>
      <c r="E1315" t="s">
        <v>527</v>
      </c>
      <c r="F1315" t="s">
        <v>657</v>
      </c>
      <c r="G1315">
        <v>-1000</v>
      </c>
      <c r="H1315" t="s">
        <v>170</v>
      </c>
      <c r="I1315" t="s">
        <v>171</v>
      </c>
    </row>
    <row r="1316" spans="1:9">
      <c r="A1316" s="50">
        <v>45809</v>
      </c>
      <c r="B1316" s="51">
        <v>0.6561689814814815</v>
      </c>
      <c r="C1316" t="s">
        <v>167</v>
      </c>
      <c r="D1316" t="s">
        <v>35</v>
      </c>
      <c r="E1316" t="s">
        <v>527</v>
      </c>
      <c r="F1316" t="s">
        <v>657</v>
      </c>
      <c r="G1316">
        <v>-3000</v>
      </c>
      <c r="H1316" t="s">
        <v>170</v>
      </c>
      <c r="I1316" t="s">
        <v>171</v>
      </c>
    </row>
    <row r="1317" spans="1:9">
      <c r="A1317" s="50">
        <v>45809</v>
      </c>
      <c r="B1317" s="51">
        <v>0.6456712962962963</v>
      </c>
      <c r="C1317" t="s">
        <v>167</v>
      </c>
      <c r="D1317" t="s">
        <v>46</v>
      </c>
      <c r="E1317" t="s">
        <v>168</v>
      </c>
      <c r="F1317" t="s">
        <v>658</v>
      </c>
      <c r="G1317">
        <v>-2000</v>
      </c>
      <c r="H1317" t="s">
        <v>170</v>
      </c>
      <c r="I1317" t="s">
        <v>171</v>
      </c>
    </row>
    <row r="1318" spans="1:9">
      <c r="A1318" s="50">
        <v>45809</v>
      </c>
      <c r="B1318" s="51">
        <v>0.6422685185185185</v>
      </c>
      <c r="C1318" t="s">
        <v>167</v>
      </c>
      <c r="D1318" t="s">
        <v>40</v>
      </c>
      <c r="E1318" t="s">
        <v>176</v>
      </c>
      <c r="F1318" t="s">
        <v>659</v>
      </c>
      <c r="G1318">
        <v>-25800</v>
      </c>
      <c r="H1318" t="s">
        <v>170</v>
      </c>
      <c r="I1318" t="s">
        <v>171</v>
      </c>
    </row>
    <row r="1319" spans="1:9">
      <c r="A1319" s="50">
        <v>45809</v>
      </c>
      <c r="B1319" s="51">
        <v>0.6105439814814815</v>
      </c>
      <c r="C1319" t="s">
        <v>167</v>
      </c>
      <c r="D1319" t="s">
        <v>35</v>
      </c>
      <c r="E1319" t="s">
        <v>293</v>
      </c>
      <c r="F1319" t="s">
        <v>660</v>
      </c>
      <c r="G1319">
        <v>-24000</v>
      </c>
      <c r="H1319" t="s">
        <v>170</v>
      </c>
      <c r="I1319" t="s">
        <v>237</v>
      </c>
    </row>
    <row r="1320" spans="1:9">
      <c r="A1320" s="50">
        <v>45809</v>
      </c>
      <c r="B1320" s="51">
        <v>0.5985185185185186</v>
      </c>
      <c r="C1320" t="s">
        <v>172</v>
      </c>
      <c r="D1320" t="s">
        <v>195</v>
      </c>
      <c r="E1320" t="s">
        <v>173</v>
      </c>
      <c r="F1320" t="s">
        <v>264</v>
      </c>
      <c r="G1320">
        <v>10100</v>
      </c>
      <c r="H1320" t="s">
        <v>170</v>
      </c>
      <c r="I1320" t="s">
        <v>175</v>
      </c>
    </row>
    <row r="1321" spans="1:9">
      <c r="A1321" s="50">
        <v>45809</v>
      </c>
      <c r="B1321" s="51">
        <v>0.5985185185185186</v>
      </c>
      <c r="C1321" t="s">
        <v>172</v>
      </c>
      <c r="D1321" t="s">
        <v>172</v>
      </c>
      <c r="E1321" t="s">
        <v>173</v>
      </c>
      <c r="F1321" t="s">
        <v>174</v>
      </c>
      <c r="G1321">
        <v>-20000</v>
      </c>
      <c r="H1321" t="s">
        <v>170</v>
      </c>
      <c r="I1321" t="s">
        <v>175</v>
      </c>
    </row>
    <row r="1322" spans="1:9">
      <c r="A1322" s="50">
        <v>45808</v>
      </c>
      <c r="B1322" s="51">
        <v>0.6338657407407408</v>
      </c>
      <c r="C1322" t="s">
        <v>167</v>
      </c>
      <c r="D1322" t="s">
        <v>40</v>
      </c>
      <c r="E1322" t="s">
        <v>261</v>
      </c>
      <c r="F1322" t="s">
        <v>262</v>
      </c>
      <c r="G1322">
        <v>-14300</v>
      </c>
      <c r="H1322" t="s">
        <v>170</v>
      </c>
      <c r="I1322" t="s">
        <v>243</v>
      </c>
    </row>
    <row r="1323" spans="1:9">
      <c r="A1323" s="50">
        <v>45808</v>
      </c>
      <c r="B1323" s="51">
        <v>0</v>
      </c>
      <c r="C1323" t="s">
        <v>167</v>
      </c>
      <c r="D1323" t="s">
        <v>34</v>
      </c>
      <c r="E1323" t="s">
        <v>206</v>
      </c>
      <c r="F1323" t="s">
        <v>661</v>
      </c>
      <c r="G1323">
        <v>-200</v>
      </c>
      <c r="H1323" t="s">
        <v>170</v>
      </c>
      <c r="I1323" t="s">
        <v>187</v>
      </c>
    </row>
    <row r="1324" spans="1:9">
      <c r="A1324" s="50">
        <v>45807</v>
      </c>
      <c r="B1324" s="51">
        <v>0.721099537037037</v>
      </c>
      <c r="C1324" t="s">
        <v>167</v>
      </c>
      <c r="D1324" t="s">
        <v>40</v>
      </c>
      <c r="E1324" t="s">
        <v>261</v>
      </c>
      <c r="F1324" t="s">
        <v>262</v>
      </c>
      <c r="G1324">
        <v>-28000</v>
      </c>
      <c r="H1324" t="s">
        <v>170</v>
      </c>
      <c r="I1324" t="s">
        <v>243</v>
      </c>
    </row>
    <row r="1325" spans="1:9">
      <c r="A1325" s="50">
        <v>45806</v>
      </c>
      <c r="B1325" s="51">
        <v>0.739849537037037</v>
      </c>
      <c r="C1325" t="s">
        <v>167</v>
      </c>
      <c r="D1325" t="s">
        <v>35</v>
      </c>
      <c r="E1325" t="s">
        <v>293</v>
      </c>
      <c r="F1325" t="s">
        <v>660</v>
      </c>
      <c r="G1325">
        <v>-24000</v>
      </c>
      <c r="H1325" t="s">
        <v>170</v>
      </c>
      <c r="I1325" t="s">
        <v>237</v>
      </c>
    </row>
    <row r="1326" spans="1:9">
      <c r="A1326" s="50">
        <v>45806</v>
      </c>
      <c r="B1326" s="51">
        <v>0.7263657407407408</v>
      </c>
      <c r="C1326" t="s">
        <v>172</v>
      </c>
      <c r="D1326" t="s">
        <v>172</v>
      </c>
      <c r="E1326" t="s">
        <v>173</v>
      </c>
      <c r="F1326" t="s">
        <v>202</v>
      </c>
      <c r="G1326">
        <v>-3690</v>
      </c>
      <c r="H1326" t="s">
        <v>170</v>
      </c>
      <c r="I1326" t="s">
        <v>60</v>
      </c>
    </row>
    <row r="1327" spans="1:9">
      <c r="A1327" s="50">
        <v>45806</v>
      </c>
      <c r="B1327" s="51">
        <v>0.7240277777777778</v>
      </c>
      <c r="C1327" t="s">
        <v>172</v>
      </c>
      <c r="D1327" t="s">
        <v>172</v>
      </c>
      <c r="E1327" t="s">
        <v>173</v>
      </c>
      <c r="F1327" t="s">
        <v>202</v>
      </c>
      <c r="G1327">
        <v>-8500</v>
      </c>
      <c r="H1327" t="s">
        <v>170</v>
      </c>
      <c r="I1327" t="s">
        <v>60</v>
      </c>
    </row>
    <row r="1328" spans="1:9">
      <c r="A1328" s="50">
        <v>45806</v>
      </c>
      <c r="B1328" s="51">
        <v>0.7111342592592592</v>
      </c>
      <c r="C1328" t="s">
        <v>167</v>
      </c>
      <c r="D1328" t="s">
        <v>38</v>
      </c>
      <c r="E1328" t="s">
        <v>259</v>
      </c>
      <c r="F1328" t="s">
        <v>580</v>
      </c>
      <c r="G1328">
        <v>-9320</v>
      </c>
      <c r="H1328" t="s">
        <v>170</v>
      </c>
      <c r="I1328" t="s">
        <v>426</v>
      </c>
    </row>
    <row r="1329" spans="1:9">
      <c r="A1329" s="50">
        <v>45806</v>
      </c>
      <c r="B1329" s="51">
        <v>0.7073495370370371</v>
      </c>
      <c r="C1329" t="s">
        <v>167</v>
      </c>
      <c r="D1329" t="s">
        <v>46</v>
      </c>
      <c r="E1329" t="s">
        <v>423</v>
      </c>
      <c r="F1329" t="s">
        <v>662</v>
      </c>
      <c r="G1329">
        <v>-3900</v>
      </c>
      <c r="H1329" t="s">
        <v>170</v>
      </c>
      <c r="I1329" t="s">
        <v>171</v>
      </c>
    </row>
    <row r="1330" spans="1:9">
      <c r="A1330" s="50">
        <v>45806</v>
      </c>
      <c r="B1330" s="51">
        <v>0.6995717592592593</v>
      </c>
      <c r="C1330" t="s">
        <v>167</v>
      </c>
      <c r="D1330" t="s">
        <v>46</v>
      </c>
      <c r="E1330" t="s">
        <v>168</v>
      </c>
      <c r="F1330" t="s">
        <v>620</v>
      </c>
      <c r="G1330">
        <v>-4000</v>
      </c>
      <c r="H1330" t="s">
        <v>170</v>
      </c>
      <c r="I1330" t="s">
        <v>171</v>
      </c>
    </row>
    <row r="1331" spans="1:9">
      <c r="A1331" s="50">
        <v>45805</v>
      </c>
      <c r="B1331" s="51">
        <v>0.9615393518518518</v>
      </c>
      <c r="C1331" t="s">
        <v>167</v>
      </c>
      <c r="D1331" t="s">
        <v>38</v>
      </c>
      <c r="E1331" t="s">
        <v>181</v>
      </c>
      <c r="F1331" t="s">
        <v>619</v>
      </c>
      <c r="G1331">
        <v>-4800</v>
      </c>
      <c r="H1331" t="s">
        <v>170</v>
      </c>
      <c r="I1331" t="s">
        <v>171</v>
      </c>
    </row>
    <row r="1332" spans="1:9">
      <c r="A1332" s="50">
        <v>45805</v>
      </c>
      <c r="B1332" s="51">
        <v>0.7976157407407407</v>
      </c>
      <c r="C1332" t="s">
        <v>167</v>
      </c>
      <c r="D1332" t="s">
        <v>35</v>
      </c>
      <c r="E1332" t="s">
        <v>360</v>
      </c>
      <c r="F1332" t="s">
        <v>663</v>
      </c>
      <c r="G1332">
        <v>-100</v>
      </c>
      <c r="H1332" t="s">
        <v>170</v>
      </c>
      <c r="I1332" t="s">
        <v>253</v>
      </c>
    </row>
    <row r="1333" spans="1:9">
      <c r="A1333" s="50">
        <v>45805</v>
      </c>
      <c r="B1333" s="51">
        <v>0.615625</v>
      </c>
      <c r="C1333" t="s">
        <v>172</v>
      </c>
      <c r="D1333" t="s">
        <v>172</v>
      </c>
      <c r="E1333" t="s">
        <v>173</v>
      </c>
      <c r="F1333" t="s">
        <v>604</v>
      </c>
      <c r="G1333">
        <v>-150000</v>
      </c>
      <c r="H1333" t="s">
        <v>170</v>
      </c>
      <c r="I1333" t="s">
        <v>59</v>
      </c>
    </row>
    <row r="1334" spans="1:9">
      <c r="A1334" s="50">
        <v>45805</v>
      </c>
      <c r="B1334" s="51">
        <v>0.6153240740740741</v>
      </c>
      <c r="C1334" t="s">
        <v>172</v>
      </c>
      <c r="D1334" t="s">
        <v>195</v>
      </c>
      <c r="E1334" t="s">
        <v>173</v>
      </c>
      <c r="F1334" t="s">
        <v>7</v>
      </c>
      <c r="G1334">
        <v>500000</v>
      </c>
      <c r="H1334" t="s">
        <v>170</v>
      </c>
      <c r="I1334" t="s">
        <v>59</v>
      </c>
    </row>
    <row r="1335" spans="1:9">
      <c r="A1335" s="50">
        <v>45805</v>
      </c>
      <c r="B1335" s="51">
        <v>0.6147800925925926</v>
      </c>
      <c r="C1335" t="s">
        <v>172</v>
      </c>
      <c r="D1335" t="s">
        <v>195</v>
      </c>
      <c r="E1335" t="s">
        <v>173</v>
      </c>
      <c r="F1335" t="s">
        <v>196</v>
      </c>
      <c r="G1335">
        <v>-1000000</v>
      </c>
      <c r="H1335" t="s">
        <v>170</v>
      </c>
      <c r="I1335" t="s">
        <v>61</v>
      </c>
    </row>
    <row r="1336" spans="1:9">
      <c r="A1336" s="50">
        <v>45805</v>
      </c>
      <c r="B1336" s="51">
        <v>0.1280439814814815</v>
      </c>
      <c r="C1336" t="s">
        <v>167</v>
      </c>
      <c r="D1336" t="s">
        <v>45</v>
      </c>
      <c r="E1336" t="s">
        <v>185</v>
      </c>
      <c r="F1336" t="s">
        <v>569</v>
      </c>
      <c r="G1336">
        <v>-86300</v>
      </c>
      <c r="H1336" t="s">
        <v>170</v>
      </c>
      <c r="I1336" t="s">
        <v>61</v>
      </c>
    </row>
    <row r="1337" spans="1:9">
      <c r="A1337" s="50">
        <v>45804</v>
      </c>
      <c r="B1337" s="51">
        <v>0.7883217592592593</v>
      </c>
      <c r="C1337" t="s">
        <v>167</v>
      </c>
      <c r="D1337" t="s">
        <v>40</v>
      </c>
      <c r="E1337" t="s">
        <v>261</v>
      </c>
      <c r="F1337" t="s">
        <v>262</v>
      </c>
      <c r="G1337">
        <v>-26000</v>
      </c>
      <c r="H1337" t="s">
        <v>170</v>
      </c>
      <c r="I1337" t="s">
        <v>243</v>
      </c>
    </row>
    <row r="1338" spans="1:9">
      <c r="A1338" s="50">
        <v>45804</v>
      </c>
      <c r="B1338" s="51">
        <v>0.6333564814814815</v>
      </c>
      <c r="C1338" t="s">
        <v>172</v>
      </c>
      <c r="D1338" t="s">
        <v>172</v>
      </c>
      <c r="E1338" t="s">
        <v>173</v>
      </c>
      <c r="F1338" t="s">
        <v>202</v>
      </c>
      <c r="G1338">
        <v>-9690</v>
      </c>
      <c r="H1338" t="s">
        <v>170</v>
      </c>
      <c r="I1338" t="s">
        <v>60</v>
      </c>
    </row>
    <row r="1339" spans="1:9">
      <c r="A1339" s="50">
        <v>45803</v>
      </c>
      <c r="B1339" s="51">
        <v>0.9647453703703703</v>
      </c>
      <c r="C1339" t="s">
        <v>167</v>
      </c>
      <c r="D1339" t="s">
        <v>40</v>
      </c>
      <c r="E1339" t="s">
        <v>261</v>
      </c>
      <c r="F1339" t="s">
        <v>262</v>
      </c>
      <c r="G1339">
        <v>-27000</v>
      </c>
      <c r="H1339" t="s">
        <v>170</v>
      </c>
      <c r="I1339" t="s">
        <v>243</v>
      </c>
    </row>
    <row r="1340" spans="1:9">
      <c r="A1340" s="50">
        <v>45803</v>
      </c>
      <c r="B1340" s="51">
        <v>0.3382175925925926</v>
      </c>
      <c r="C1340" t="s">
        <v>167</v>
      </c>
      <c r="D1340" t="s">
        <v>42</v>
      </c>
      <c r="E1340" t="s">
        <v>442</v>
      </c>
      <c r="F1340" t="s">
        <v>521</v>
      </c>
      <c r="G1340">
        <v>-35010</v>
      </c>
      <c r="H1340" t="s">
        <v>170</v>
      </c>
      <c r="I1340" t="s">
        <v>187</v>
      </c>
    </row>
    <row r="1341" spans="1:9">
      <c r="A1341" s="50">
        <v>45803</v>
      </c>
      <c r="B1341" s="51">
        <v>0.08274305555555556</v>
      </c>
      <c r="C1341" t="s">
        <v>167</v>
      </c>
      <c r="D1341" t="s">
        <v>42</v>
      </c>
      <c r="E1341" t="s">
        <v>235</v>
      </c>
      <c r="F1341" t="s">
        <v>242</v>
      </c>
      <c r="G1341">
        <v>-41900</v>
      </c>
      <c r="H1341" t="s">
        <v>170</v>
      </c>
      <c r="I1341" t="s">
        <v>243</v>
      </c>
    </row>
    <row r="1342" spans="1:9">
      <c r="A1342" s="50">
        <v>45802</v>
      </c>
      <c r="B1342" s="51">
        <v>0.7865393518518519</v>
      </c>
      <c r="C1342" t="s">
        <v>167</v>
      </c>
      <c r="D1342" t="s">
        <v>46</v>
      </c>
      <c r="E1342" t="s">
        <v>168</v>
      </c>
      <c r="F1342" t="s">
        <v>647</v>
      </c>
      <c r="G1342">
        <v>-11700</v>
      </c>
      <c r="H1342" t="s">
        <v>170</v>
      </c>
      <c r="I1342" t="s">
        <v>171</v>
      </c>
    </row>
    <row r="1343" spans="1:9">
      <c r="A1343" s="50">
        <v>45802</v>
      </c>
      <c r="B1343" s="51">
        <v>0.7687152777777778</v>
      </c>
      <c r="C1343" t="s">
        <v>167</v>
      </c>
      <c r="D1343" t="s">
        <v>40</v>
      </c>
      <c r="E1343" t="s">
        <v>383</v>
      </c>
      <c r="F1343" t="s">
        <v>583</v>
      </c>
      <c r="G1343">
        <v>-55000</v>
      </c>
      <c r="H1343" t="s">
        <v>170</v>
      </c>
      <c r="I1343" t="s">
        <v>171</v>
      </c>
    </row>
    <row r="1344" spans="1:9">
      <c r="A1344" s="50">
        <v>45802</v>
      </c>
      <c r="B1344" s="51">
        <v>0.725</v>
      </c>
      <c r="C1344" t="s">
        <v>167</v>
      </c>
      <c r="D1344" t="s">
        <v>35</v>
      </c>
      <c r="E1344" t="s">
        <v>360</v>
      </c>
      <c r="F1344" t="s">
        <v>664</v>
      </c>
      <c r="G1344">
        <v>-3000</v>
      </c>
      <c r="H1344" t="s">
        <v>170</v>
      </c>
      <c r="I1344" t="s">
        <v>171</v>
      </c>
    </row>
    <row r="1345" spans="1:9">
      <c r="A1345" s="50">
        <v>45802</v>
      </c>
      <c r="B1345" s="51">
        <v>0.4324768518518519</v>
      </c>
      <c r="C1345" t="s">
        <v>167</v>
      </c>
      <c r="D1345" t="s">
        <v>42</v>
      </c>
      <c r="E1345" t="s">
        <v>217</v>
      </c>
      <c r="F1345" t="s">
        <v>471</v>
      </c>
      <c r="G1345">
        <v>-28440</v>
      </c>
      <c r="H1345" t="s">
        <v>170</v>
      </c>
      <c r="I1345" t="s">
        <v>187</v>
      </c>
    </row>
    <row r="1346" spans="1:9">
      <c r="A1346" s="50">
        <v>45802</v>
      </c>
      <c r="B1346" s="51">
        <v>0.2447453703703704</v>
      </c>
      <c r="C1346" t="s">
        <v>167</v>
      </c>
      <c r="D1346" t="s">
        <v>33</v>
      </c>
      <c r="E1346" t="s">
        <v>282</v>
      </c>
      <c r="F1346" t="s">
        <v>648</v>
      </c>
      <c r="G1346">
        <v>-6200</v>
      </c>
      <c r="H1346" t="s">
        <v>170</v>
      </c>
      <c r="I1346" t="s">
        <v>243</v>
      </c>
    </row>
    <row r="1347" spans="1:9">
      <c r="A1347" s="50">
        <v>45801</v>
      </c>
      <c r="B1347" s="51">
        <v>0.8353587962962963</v>
      </c>
      <c r="C1347" t="s">
        <v>167</v>
      </c>
      <c r="D1347" t="s">
        <v>46</v>
      </c>
      <c r="E1347" t="s">
        <v>168</v>
      </c>
      <c r="F1347" t="s">
        <v>178</v>
      </c>
      <c r="G1347">
        <v>-8700</v>
      </c>
      <c r="H1347" t="s">
        <v>170</v>
      </c>
      <c r="I1347" t="s">
        <v>171</v>
      </c>
    </row>
    <row r="1348" spans="1:9">
      <c r="A1348" s="50">
        <v>45801</v>
      </c>
      <c r="B1348" s="51">
        <v>0.7452430555555556</v>
      </c>
      <c r="C1348" t="s">
        <v>167</v>
      </c>
      <c r="D1348" t="s">
        <v>38</v>
      </c>
      <c r="E1348" t="s">
        <v>259</v>
      </c>
      <c r="F1348" t="s">
        <v>585</v>
      </c>
      <c r="G1348">
        <v>-17500</v>
      </c>
      <c r="H1348" t="s">
        <v>170</v>
      </c>
      <c r="I1348" t="s">
        <v>171</v>
      </c>
    </row>
    <row r="1349" spans="1:9">
      <c r="A1349" s="50">
        <v>45801</v>
      </c>
      <c r="B1349" s="51">
        <v>0.6916666666666667</v>
      </c>
      <c r="C1349" t="s">
        <v>172</v>
      </c>
      <c r="D1349" t="s">
        <v>195</v>
      </c>
      <c r="E1349" t="s">
        <v>173</v>
      </c>
      <c r="F1349" t="s">
        <v>7</v>
      </c>
      <c r="G1349">
        <v>12400</v>
      </c>
      <c r="H1349" t="s">
        <v>170</v>
      </c>
      <c r="I1349" t="s">
        <v>60</v>
      </c>
    </row>
    <row r="1350" spans="1:9">
      <c r="A1350" s="50">
        <v>45801</v>
      </c>
      <c r="B1350" s="51">
        <v>0.6913194444444445</v>
      </c>
      <c r="C1350" t="s">
        <v>172</v>
      </c>
      <c r="D1350" t="s">
        <v>172</v>
      </c>
      <c r="E1350" t="s">
        <v>173</v>
      </c>
      <c r="F1350" t="s">
        <v>202</v>
      </c>
      <c r="G1350">
        <v>-12400</v>
      </c>
      <c r="H1350" t="s">
        <v>170</v>
      </c>
      <c r="I1350" t="s">
        <v>60</v>
      </c>
    </row>
    <row r="1351" spans="1:9">
      <c r="A1351" s="50">
        <v>45801</v>
      </c>
      <c r="B1351" s="51">
        <v>0.5025462962962963</v>
      </c>
      <c r="C1351" t="s">
        <v>167</v>
      </c>
      <c r="D1351" t="s">
        <v>46</v>
      </c>
      <c r="E1351" t="s">
        <v>168</v>
      </c>
      <c r="F1351" t="s">
        <v>616</v>
      </c>
      <c r="G1351">
        <v>-3000</v>
      </c>
      <c r="H1351" t="s">
        <v>170</v>
      </c>
      <c r="I1351" t="s">
        <v>171</v>
      </c>
    </row>
    <row r="1352" spans="1:9">
      <c r="A1352" s="50">
        <v>45801</v>
      </c>
      <c r="B1352" s="51">
        <v>0.2376388888888889</v>
      </c>
      <c r="C1352" t="s">
        <v>233</v>
      </c>
      <c r="D1352" t="s">
        <v>28</v>
      </c>
      <c r="E1352" t="s">
        <v>173</v>
      </c>
      <c r="F1352" t="s">
        <v>278</v>
      </c>
      <c r="G1352">
        <v>11</v>
      </c>
      <c r="H1352" t="s">
        <v>170</v>
      </c>
      <c r="I1352" t="s">
        <v>60</v>
      </c>
    </row>
    <row r="1353" spans="1:9">
      <c r="A1353" s="50">
        <v>45800</v>
      </c>
      <c r="B1353" s="51">
        <v>0.7981597222222222</v>
      </c>
      <c r="C1353" t="s">
        <v>172</v>
      </c>
      <c r="D1353" t="s">
        <v>172</v>
      </c>
      <c r="E1353" t="s">
        <v>173</v>
      </c>
      <c r="F1353" t="s">
        <v>202</v>
      </c>
      <c r="G1353">
        <v>-1780</v>
      </c>
      <c r="H1353" t="s">
        <v>170</v>
      </c>
      <c r="I1353" t="s">
        <v>60</v>
      </c>
    </row>
    <row r="1354" spans="1:9">
      <c r="A1354" s="50">
        <v>45800</v>
      </c>
      <c r="B1354" s="51">
        <v>0.7397685185185185</v>
      </c>
      <c r="C1354" t="s">
        <v>172</v>
      </c>
      <c r="D1354" t="s">
        <v>172</v>
      </c>
      <c r="E1354" t="s">
        <v>173</v>
      </c>
      <c r="F1354" t="s">
        <v>202</v>
      </c>
      <c r="G1354">
        <v>-79420</v>
      </c>
      <c r="H1354" t="s">
        <v>170</v>
      </c>
      <c r="I1354" t="s">
        <v>60</v>
      </c>
    </row>
    <row r="1355" spans="1:9">
      <c r="A1355" s="50">
        <v>45800</v>
      </c>
      <c r="B1355" s="51">
        <v>0.7378819444444444</v>
      </c>
      <c r="C1355" t="s">
        <v>172</v>
      </c>
      <c r="D1355" t="s">
        <v>195</v>
      </c>
      <c r="E1355" t="s">
        <v>173</v>
      </c>
      <c r="F1355" t="s">
        <v>7</v>
      </c>
      <c r="G1355">
        <v>320000</v>
      </c>
      <c r="H1355" t="s">
        <v>170</v>
      </c>
      <c r="I1355" t="s">
        <v>60</v>
      </c>
    </row>
    <row r="1356" spans="1:9">
      <c r="A1356" s="50">
        <v>45800</v>
      </c>
      <c r="B1356" s="51">
        <v>0.7378819444444444</v>
      </c>
      <c r="C1356" t="s">
        <v>172</v>
      </c>
      <c r="D1356" t="s">
        <v>195</v>
      </c>
      <c r="E1356" t="s">
        <v>173</v>
      </c>
      <c r="F1356" t="s">
        <v>264</v>
      </c>
      <c r="G1356">
        <v>265000</v>
      </c>
      <c r="H1356" t="s">
        <v>170</v>
      </c>
      <c r="I1356" t="s">
        <v>175</v>
      </c>
    </row>
    <row r="1357" spans="1:9">
      <c r="A1357" s="50">
        <v>45800</v>
      </c>
      <c r="B1357" s="51">
        <v>0.7378819444444444</v>
      </c>
      <c r="C1357" t="s">
        <v>172</v>
      </c>
      <c r="D1357" t="s">
        <v>195</v>
      </c>
      <c r="E1357" t="s">
        <v>173</v>
      </c>
      <c r="F1357" t="s">
        <v>264</v>
      </c>
      <c r="G1357">
        <v>-320000</v>
      </c>
      <c r="H1357" t="s">
        <v>170</v>
      </c>
      <c r="I1357" t="s">
        <v>175</v>
      </c>
    </row>
    <row r="1358" spans="1:9">
      <c r="A1358" s="50">
        <v>45799</v>
      </c>
      <c r="B1358" s="51">
        <v>0.8892245370370371</v>
      </c>
      <c r="C1358" t="s">
        <v>167</v>
      </c>
      <c r="D1358" t="s">
        <v>40</v>
      </c>
      <c r="E1358" t="s">
        <v>261</v>
      </c>
      <c r="F1358" t="s">
        <v>262</v>
      </c>
      <c r="G1358">
        <v>-11600</v>
      </c>
      <c r="H1358" t="s">
        <v>170</v>
      </c>
      <c r="I1358" t="s">
        <v>243</v>
      </c>
    </row>
    <row r="1359" spans="1:9">
      <c r="A1359" s="50">
        <v>45799</v>
      </c>
      <c r="B1359" s="51">
        <v>0.8532291666666667</v>
      </c>
      <c r="C1359" t="s">
        <v>167</v>
      </c>
      <c r="D1359" t="s">
        <v>40</v>
      </c>
      <c r="E1359" t="s">
        <v>329</v>
      </c>
      <c r="F1359" t="s">
        <v>430</v>
      </c>
      <c r="G1359">
        <v>-36000</v>
      </c>
      <c r="H1359" t="s">
        <v>170</v>
      </c>
      <c r="I1359" t="s">
        <v>171</v>
      </c>
    </row>
    <row r="1360" spans="1:9">
      <c r="A1360" s="50">
        <v>45799</v>
      </c>
      <c r="B1360" s="51">
        <v>0.7983564814814815</v>
      </c>
      <c r="C1360" t="s">
        <v>167</v>
      </c>
      <c r="D1360" t="s">
        <v>38</v>
      </c>
      <c r="E1360" t="s">
        <v>181</v>
      </c>
      <c r="F1360" t="s">
        <v>431</v>
      </c>
      <c r="G1360">
        <v>-1100</v>
      </c>
      <c r="H1360" t="s">
        <v>170</v>
      </c>
      <c r="I1360" t="s">
        <v>171</v>
      </c>
    </row>
    <row r="1361" spans="1:9">
      <c r="A1361" s="50">
        <v>45799</v>
      </c>
      <c r="B1361" s="51">
        <v>0.2749884259259259</v>
      </c>
      <c r="C1361" t="s">
        <v>167</v>
      </c>
      <c r="D1361" t="s">
        <v>33</v>
      </c>
      <c r="E1361" t="s">
        <v>282</v>
      </c>
      <c r="F1361" t="s">
        <v>607</v>
      </c>
      <c r="G1361">
        <v>-5000</v>
      </c>
      <c r="H1361" t="s">
        <v>170</v>
      </c>
      <c r="I1361" t="s">
        <v>243</v>
      </c>
    </row>
    <row r="1362" spans="1:9">
      <c r="A1362" s="50">
        <v>45798</v>
      </c>
      <c r="B1362" s="51">
        <v>0.6965856481481482</v>
      </c>
      <c r="C1362" t="s">
        <v>167</v>
      </c>
      <c r="D1362" t="s">
        <v>46</v>
      </c>
      <c r="E1362" t="s">
        <v>168</v>
      </c>
      <c r="F1362" t="s">
        <v>593</v>
      </c>
      <c r="G1362">
        <v>-1800</v>
      </c>
      <c r="H1362" t="s">
        <v>170</v>
      </c>
      <c r="I1362" t="s">
        <v>171</v>
      </c>
    </row>
    <row r="1363" spans="1:9">
      <c r="A1363" s="50">
        <v>45798</v>
      </c>
      <c r="B1363" s="51">
        <v>0.4938541666666666</v>
      </c>
      <c r="C1363" t="s">
        <v>167</v>
      </c>
      <c r="D1363" t="s">
        <v>42</v>
      </c>
      <c r="E1363" t="s">
        <v>188</v>
      </c>
      <c r="F1363" t="s">
        <v>493</v>
      </c>
      <c r="G1363">
        <v>-30758</v>
      </c>
      <c r="H1363" t="s">
        <v>170</v>
      </c>
      <c r="I1363" t="s">
        <v>187</v>
      </c>
    </row>
    <row r="1364" spans="1:9">
      <c r="A1364" s="50">
        <v>45798</v>
      </c>
      <c r="B1364" s="51">
        <v>0.4241782407407407</v>
      </c>
      <c r="C1364" t="s">
        <v>172</v>
      </c>
      <c r="D1364" t="s">
        <v>172</v>
      </c>
      <c r="E1364" t="s">
        <v>173</v>
      </c>
      <c r="F1364" t="s">
        <v>174</v>
      </c>
      <c r="G1364">
        <v>55000</v>
      </c>
      <c r="H1364" t="s">
        <v>170</v>
      </c>
      <c r="I1364" t="s">
        <v>175</v>
      </c>
    </row>
    <row r="1365" spans="1:9">
      <c r="A1365" s="50">
        <v>45797</v>
      </c>
      <c r="B1365" s="51">
        <v>0.9243981481481481</v>
      </c>
      <c r="C1365" t="s">
        <v>167</v>
      </c>
      <c r="D1365" t="s">
        <v>38</v>
      </c>
      <c r="E1365" t="s">
        <v>259</v>
      </c>
      <c r="F1365" t="s">
        <v>665</v>
      </c>
      <c r="G1365">
        <v>-43540</v>
      </c>
      <c r="H1365" t="s">
        <v>170</v>
      </c>
      <c r="I1365" t="s">
        <v>171</v>
      </c>
    </row>
    <row r="1366" spans="1:9">
      <c r="A1366" s="50">
        <v>45797</v>
      </c>
      <c r="B1366" s="51">
        <v>0.7476157407407408</v>
      </c>
      <c r="C1366" t="s">
        <v>167</v>
      </c>
      <c r="D1366" t="s">
        <v>38</v>
      </c>
      <c r="E1366" t="s">
        <v>259</v>
      </c>
      <c r="F1366" t="s">
        <v>580</v>
      </c>
      <c r="G1366">
        <v>-6500</v>
      </c>
      <c r="H1366" t="s">
        <v>170</v>
      </c>
      <c r="I1366" t="s">
        <v>426</v>
      </c>
    </row>
    <row r="1367" spans="1:9">
      <c r="A1367" s="50">
        <v>45797</v>
      </c>
      <c r="B1367" s="51">
        <v>0.6592824074074074</v>
      </c>
      <c r="C1367" t="s">
        <v>167</v>
      </c>
      <c r="D1367" t="s">
        <v>42</v>
      </c>
      <c r="E1367" t="s">
        <v>442</v>
      </c>
      <c r="F1367" t="s">
        <v>521</v>
      </c>
      <c r="G1367">
        <v>-21700</v>
      </c>
      <c r="H1367" t="s">
        <v>170</v>
      </c>
      <c r="I1367" t="s">
        <v>187</v>
      </c>
    </row>
    <row r="1368" spans="1:9">
      <c r="A1368" s="50">
        <v>45796</v>
      </c>
      <c r="B1368" s="51">
        <v>0.8933912037037037</v>
      </c>
      <c r="C1368" t="s">
        <v>167</v>
      </c>
      <c r="D1368" t="s">
        <v>35</v>
      </c>
      <c r="E1368" t="s">
        <v>360</v>
      </c>
      <c r="F1368" t="s">
        <v>666</v>
      </c>
      <c r="G1368">
        <v>-1000</v>
      </c>
      <c r="H1368" t="s">
        <v>170</v>
      </c>
      <c r="I1368" t="s">
        <v>171</v>
      </c>
    </row>
    <row r="1369" spans="1:9">
      <c r="A1369" s="50">
        <v>45796</v>
      </c>
      <c r="B1369" s="51">
        <v>0.8930092592592592</v>
      </c>
      <c r="C1369" t="s">
        <v>167</v>
      </c>
      <c r="D1369" t="s">
        <v>35</v>
      </c>
      <c r="E1369" t="s">
        <v>360</v>
      </c>
      <c r="F1369" t="s">
        <v>666</v>
      </c>
      <c r="G1369">
        <v>-1000</v>
      </c>
      <c r="H1369" t="s">
        <v>170</v>
      </c>
      <c r="I1369" t="s">
        <v>171</v>
      </c>
    </row>
    <row r="1370" spans="1:9">
      <c r="A1370" s="50">
        <v>45796</v>
      </c>
      <c r="B1370" s="51">
        <v>0.6266087962962963</v>
      </c>
      <c r="C1370" t="s">
        <v>167</v>
      </c>
      <c r="D1370" t="s">
        <v>46</v>
      </c>
      <c r="E1370" t="s">
        <v>168</v>
      </c>
      <c r="F1370" t="s">
        <v>593</v>
      </c>
      <c r="G1370">
        <v>-1800</v>
      </c>
      <c r="H1370" t="s">
        <v>170</v>
      </c>
      <c r="I1370" t="s">
        <v>171</v>
      </c>
    </row>
    <row r="1371" spans="1:9">
      <c r="A1371" s="50">
        <v>45796</v>
      </c>
      <c r="B1371" s="51">
        <v>0.6255324074074075</v>
      </c>
      <c r="C1371" t="s">
        <v>167</v>
      </c>
      <c r="D1371" t="s">
        <v>40</v>
      </c>
      <c r="E1371" t="s">
        <v>356</v>
      </c>
      <c r="F1371" t="s">
        <v>624</v>
      </c>
      <c r="G1371">
        <v>-1950</v>
      </c>
      <c r="H1371" t="s">
        <v>170</v>
      </c>
      <c r="I1371" t="s">
        <v>171</v>
      </c>
    </row>
    <row r="1372" spans="1:9">
      <c r="A1372" s="50">
        <v>45796</v>
      </c>
      <c r="B1372" s="51">
        <v>0.2439583333333333</v>
      </c>
      <c r="C1372" t="s">
        <v>167</v>
      </c>
      <c r="D1372" t="s">
        <v>42</v>
      </c>
      <c r="E1372" t="s">
        <v>235</v>
      </c>
      <c r="F1372" t="s">
        <v>477</v>
      </c>
      <c r="G1372">
        <v>-22410</v>
      </c>
      <c r="H1372" t="s">
        <v>170</v>
      </c>
      <c r="I1372" t="s">
        <v>187</v>
      </c>
    </row>
    <row r="1373" spans="1:9">
      <c r="A1373" s="50">
        <v>45796</v>
      </c>
      <c r="B1373" s="51">
        <v>0.09300925925925926</v>
      </c>
      <c r="C1373" t="s">
        <v>167</v>
      </c>
      <c r="D1373" t="s">
        <v>35</v>
      </c>
      <c r="E1373" t="s">
        <v>197</v>
      </c>
      <c r="F1373" t="s">
        <v>198</v>
      </c>
      <c r="G1373">
        <v>-12000</v>
      </c>
      <c r="H1373" t="s">
        <v>170</v>
      </c>
      <c r="I1373" t="s">
        <v>199</v>
      </c>
    </row>
    <row r="1374" spans="1:9">
      <c r="A1374" s="50">
        <v>45795</v>
      </c>
      <c r="B1374" s="51">
        <v>0.4492476851851852</v>
      </c>
      <c r="C1374" t="s">
        <v>167</v>
      </c>
      <c r="D1374" t="s">
        <v>38</v>
      </c>
      <c r="E1374" t="s">
        <v>259</v>
      </c>
      <c r="F1374" t="s">
        <v>474</v>
      </c>
      <c r="G1374">
        <v>-58140</v>
      </c>
      <c r="H1374" t="s">
        <v>170</v>
      </c>
      <c r="I1374" t="s">
        <v>187</v>
      </c>
    </row>
    <row r="1375" spans="1:9">
      <c r="A1375" s="50">
        <v>45795</v>
      </c>
      <c r="B1375" s="51">
        <v>0.05917824074074074</v>
      </c>
      <c r="C1375" t="s">
        <v>167</v>
      </c>
      <c r="D1375" t="s">
        <v>38</v>
      </c>
      <c r="E1375" t="s">
        <v>181</v>
      </c>
      <c r="F1375" t="s">
        <v>619</v>
      </c>
      <c r="G1375">
        <v>-3000</v>
      </c>
      <c r="H1375" t="s">
        <v>170</v>
      </c>
      <c r="I1375" t="s">
        <v>171</v>
      </c>
    </row>
    <row r="1376" spans="1:9">
      <c r="A1376" s="50">
        <v>45794</v>
      </c>
      <c r="B1376" s="51">
        <v>0.8272337962962963</v>
      </c>
      <c r="C1376" t="s">
        <v>167</v>
      </c>
      <c r="D1376" t="s">
        <v>35</v>
      </c>
      <c r="E1376" t="s">
        <v>527</v>
      </c>
      <c r="F1376" t="s">
        <v>657</v>
      </c>
      <c r="G1376">
        <v>-3000</v>
      </c>
      <c r="H1376" t="s">
        <v>170</v>
      </c>
      <c r="I1376" t="s">
        <v>171</v>
      </c>
    </row>
    <row r="1377" spans="1:9">
      <c r="A1377" s="50">
        <v>45794</v>
      </c>
      <c r="B1377" s="51">
        <v>0.7677430555555556</v>
      </c>
      <c r="C1377" t="s">
        <v>167</v>
      </c>
      <c r="D1377" t="s">
        <v>44</v>
      </c>
      <c r="E1377" t="s">
        <v>543</v>
      </c>
      <c r="F1377" t="s">
        <v>667</v>
      </c>
      <c r="G1377">
        <v>-1400</v>
      </c>
      <c r="H1377" t="s">
        <v>170</v>
      </c>
      <c r="I1377" t="s">
        <v>171</v>
      </c>
    </row>
    <row r="1378" spans="1:9">
      <c r="A1378" s="50">
        <v>45794</v>
      </c>
      <c r="B1378" s="51">
        <v>0.7605092592592593</v>
      </c>
      <c r="C1378" t="s">
        <v>167</v>
      </c>
      <c r="D1378" t="s">
        <v>40</v>
      </c>
      <c r="E1378" t="s">
        <v>176</v>
      </c>
      <c r="F1378" t="s">
        <v>668</v>
      </c>
      <c r="G1378">
        <v>-115000</v>
      </c>
      <c r="H1378" t="s">
        <v>170</v>
      </c>
      <c r="I1378" t="s">
        <v>171</v>
      </c>
    </row>
    <row r="1379" spans="1:9">
      <c r="A1379" s="50">
        <v>45794</v>
      </c>
      <c r="B1379" s="51">
        <v>0.4790509259259259</v>
      </c>
      <c r="C1379" t="s">
        <v>167</v>
      </c>
      <c r="D1379" t="s">
        <v>42</v>
      </c>
      <c r="E1379" t="s">
        <v>235</v>
      </c>
      <c r="F1379" t="s">
        <v>242</v>
      </c>
      <c r="G1379">
        <v>-12199</v>
      </c>
      <c r="H1379" t="s">
        <v>170</v>
      </c>
      <c r="I1379" t="s">
        <v>243</v>
      </c>
    </row>
    <row r="1380" spans="1:9">
      <c r="A1380" s="50">
        <v>45794</v>
      </c>
      <c r="B1380" s="51">
        <v>0.4602777777777778</v>
      </c>
      <c r="C1380" t="s">
        <v>167</v>
      </c>
      <c r="D1380" t="s">
        <v>38</v>
      </c>
      <c r="E1380" t="s">
        <v>259</v>
      </c>
      <c r="F1380" t="s">
        <v>585</v>
      </c>
      <c r="G1380">
        <v>-1810</v>
      </c>
      <c r="H1380" t="s">
        <v>170</v>
      </c>
      <c r="I1380" t="s">
        <v>426</v>
      </c>
    </row>
    <row r="1381" spans="1:9">
      <c r="A1381" s="50">
        <v>45794</v>
      </c>
      <c r="B1381" s="51">
        <v>0.002175925925925926</v>
      </c>
      <c r="C1381" t="s">
        <v>167</v>
      </c>
      <c r="D1381" t="s">
        <v>40</v>
      </c>
      <c r="E1381" t="s">
        <v>383</v>
      </c>
      <c r="F1381" t="s">
        <v>669</v>
      </c>
      <c r="G1381">
        <v>-56000</v>
      </c>
      <c r="H1381" t="s">
        <v>170</v>
      </c>
      <c r="I1381" t="s">
        <v>171</v>
      </c>
    </row>
    <row r="1382" spans="1:9">
      <c r="A1382" s="50">
        <v>45793</v>
      </c>
      <c r="B1382" s="51">
        <v>0.9282638888888889</v>
      </c>
      <c r="C1382" t="s">
        <v>167</v>
      </c>
      <c r="D1382" t="s">
        <v>38</v>
      </c>
      <c r="E1382" t="s">
        <v>181</v>
      </c>
      <c r="F1382" t="s">
        <v>670</v>
      </c>
      <c r="G1382">
        <v>-3900</v>
      </c>
      <c r="H1382" t="s">
        <v>170</v>
      </c>
      <c r="I1382" t="s">
        <v>171</v>
      </c>
    </row>
    <row r="1383" spans="1:9">
      <c r="A1383" s="50">
        <v>45793</v>
      </c>
      <c r="B1383" s="51">
        <v>0.7497916666666666</v>
      </c>
      <c r="C1383" t="s">
        <v>167</v>
      </c>
      <c r="D1383" t="s">
        <v>40</v>
      </c>
      <c r="E1383" t="s">
        <v>176</v>
      </c>
      <c r="F1383" t="s">
        <v>592</v>
      </c>
      <c r="G1383">
        <v>-22500</v>
      </c>
      <c r="H1383" t="s">
        <v>170</v>
      </c>
      <c r="I1383" t="s">
        <v>171</v>
      </c>
    </row>
    <row r="1384" spans="1:9">
      <c r="A1384" s="50">
        <v>45793</v>
      </c>
      <c r="B1384" s="51">
        <v>0.713275462962963</v>
      </c>
      <c r="C1384" t="s">
        <v>172</v>
      </c>
      <c r="D1384" t="s">
        <v>195</v>
      </c>
      <c r="E1384" t="s">
        <v>173</v>
      </c>
      <c r="F1384" t="s">
        <v>264</v>
      </c>
      <c r="G1384">
        <v>42050</v>
      </c>
      <c r="H1384" t="s">
        <v>170</v>
      </c>
      <c r="I1384" t="s">
        <v>175</v>
      </c>
    </row>
    <row r="1385" spans="1:9">
      <c r="A1385" s="50">
        <v>45793</v>
      </c>
      <c r="B1385" s="51">
        <v>0.713275462962963</v>
      </c>
      <c r="C1385" t="s">
        <v>172</v>
      </c>
      <c r="D1385" t="s">
        <v>172</v>
      </c>
      <c r="E1385" t="s">
        <v>173</v>
      </c>
      <c r="F1385" t="s">
        <v>578</v>
      </c>
      <c r="G1385">
        <v>-42480</v>
      </c>
      <c r="H1385" t="s">
        <v>170</v>
      </c>
      <c r="I1385" t="s">
        <v>175</v>
      </c>
    </row>
    <row r="1386" spans="1:9">
      <c r="A1386" s="50">
        <v>45793</v>
      </c>
      <c r="B1386" s="51">
        <v>0.6626273148148148</v>
      </c>
      <c r="C1386" t="s">
        <v>167</v>
      </c>
      <c r="D1386" t="s">
        <v>46</v>
      </c>
      <c r="E1386" t="s">
        <v>423</v>
      </c>
      <c r="F1386" t="s">
        <v>671</v>
      </c>
      <c r="G1386">
        <v>-13100</v>
      </c>
      <c r="H1386" t="s">
        <v>170</v>
      </c>
      <c r="I1386" t="s">
        <v>171</v>
      </c>
    </row>
    <row r="1387" spans="1:9">
      <c r="A1387" s="50">
        <v>45793</v>
      </c>
      <c r="B1387" s="51">
        <v>0.6603240740740741</v>
      </c>
      <c r="C1387" t="s">
        <v>167</v>
      </c>
      <c r="D1387" t="s">
        <v>38</v>
      </c>
      <c r="E1387" t="s">
        <v>221</v>
      </c>
      <c r="F1387" t="s">
        <v>222</v>
      </c>
      <c r="G1387">
        <v>-6000</v>
      </c>
      <c r="H1387" t="s">
        <v>170</v>
      </c>
      <c r="I1387" t="s">
        <v>171</v>
      </c>
    </row>
    <row r="1388" spans="1:9">
      <c r="A1388" s="50">
        <v>45793</v>
      </c>
      <c r="B1388" s="51">
        <v>0.4456018518518519</v>
      </c>
      <c r="C1388" t="s">
        <v>167</v>
      </c>
      <c r="D1388" t="s">
        <v>46</v>
      </c>
      <c r="E1388" t="s">
        <v>168</v>
      </c>
      <c r="F1388" t="s">
        <v>672</v>
      </c>
      <c r="G1388">
        <v>-2800</v>
      </c>
      <c r="H1388" t="s">
        <v>170</v>
      </c>
      <c r="I1388" t="s">
        <v>171</v>
      </c>
    </row>
    <row r="1389" spans="1:9">
      <c r="A1389" s="50">
        <v>45793</v>
      </c>
      <c r="B1389" s="51">
        <v>0.4415625</v>
      </c>
      <c r="C1389" t="s">
        <v>167</v>
      </c>
      <c r="D1389" t="s">
        <v>38</v>
      </c>
      <c r="E1389" t="s">
        <v>181</v>
      </c>
      <c r="F1389" t="s">
        <v>673</v>
      </c>
      <c r="G1389">
        <v>-8000</v>
      </c>
      <c r="H1389" t="s">
        <v>170</v>
      </c>
      <c r="I1389" t="s">
        <v>171</v>
      </c>
    </row>
    <row r="1390" spans="1:9">
      <c r="A1390" s="50">
        <v>45793</v>
      </c>
      <c r="B1390" s="51">
        <v>0.3926388888888889</v>
      </c>
      <c r="C1390" t="s">
        <v>172</v>
      </c>
      <c r="D1390" t="s">
        <v>195</v>
      </c>
      <c r="E1390" t="s">
        <v>173</v>
      </c>
      <c r="F1390" t="s">
        <v>264</v>
      </c>
      <c r="G1390">
        <v>10000</v>
      </c>
      <c r="H1390" t="s">
        <v>170</v>
      </c>
      <c r="I1390" t="s">
        <v>175</v>
      </c>
    </row>
    <row r="1391" spans="1:9">
      <c r="A1391" s="50">
        <v>45793</v>
      </c>
      <c r="B1391" s="51">
        <v>0.3926388888888889</v>
      </c>
      <c r="C1391" t="s">
        <v>167</v>
      </c>
      <c r="D1391" t="s">
        <v>35</v>
      </c>
      <c r="E1391" t="s">
        <v>360</v>
      </c>
      <c r="F1391" t="s">
        <v>252</v>
      </c>
      <c r="G1391">
        <v>-9570</v>
      </c>
      <c r="H1391" t="s">
        <v>170</v>
      </c>
      <c r="I1391" t="s">
        <v>253</v>
      </c>
    </row>
    <row r="1392" spans="1:9">
      <c r="A1392" s="50">
        <v>45792</v>
      </c>
      <c r="B1392" s="51">
        <v>0.9627893518518519</v>
      </c>
      <c r="C1392" t="s">
        <v>172</v>
      </c>
      <c r="D1392" t="s">
        <v>172</v>
      </c>
      <c r="E1392" t="s">
        <v>173</v>
      </c>
      <c r="F1392" t="s">
        <v>202</v>
      </c>
      <c r="G1392">
        <v>-9700</v>
      </c>
      <c r="H1392" t="s">
        <v>170</v>
      </c>
      <c r="I1392" t="s">
        <v>60</v>
      </c>
    </row>
    <row r="1393" spans="1:9">
      <c r="A1393" s="50">
        <v>45792</v>
      </c>
      <c r="B1393" s="51">
        <v>0.9440393518518518</v>
      </c>
      <c r="C1393" t="s">
        <v>172</v>
      </c>
      <c r="D1393" t="s">
        <v>172</v>
      </c>
      <c r="E1393" t="s">
        <v>173</v>
      </c>
      <c r="F1393" t="s">
        <v>202</v>
      </c>
      <c r="G1393">
        <v>-35680</v>
      </c>
      <c r="H1393" t="s">
        <v>170</v>
      </c>
      <c r="I1393" t="s">
        <v>60</v>
      </c>
    </row>
    <row r="1394" spans="1:9">
      <c r="A1394" s="50">
        <v>45792</v>
      </c>
      <c r="B1394" s="51">
        <v>0.7618518518518519</v>
      </c>
      <c r="C1394" t="s">
        <v>167</v>
      </c>
      <c r="D1394" t="s">
        <v>38</v>
      </c>
      <c r="E1394" t="s">
        <v>181</v>
      </c>
      <c r="F1394" t="s">
        <v>619</v>
      </c>
      <c r="G1394">
        <v>-1800</v>
      </c>
      <c r="H1394" t="s">
        <v>170</v>
      </c>
      <c r="I1394" t="s">
        <v>171</v>
      </c>
    </row>
    <row r="1395" spans="1:9">
      <c r="A1395" s="50">
        <v>45792</v>
      </c>
      <c r="B1395" s="51">
        <v>0.743275462962963</v>
      </c>
      <c r="C1395" t="s">
        <v>167</v>
      </c>
      <c r="D1395" t="s">
        <v>40</v>
      </c>
      <c r="E1395" t="s">
        <v>261</v>
      </c>
      <c r="F1395" t="s">
        <v>262</v>
      </c>
      <c r="G1395">
        <v>-32800</v>
      </c>
      <c r="H1395" t="s">
        <v>170</v>
      </c>
      <c r="I1395" t="s">
        <v>243</v>
      </c>
    </row>
    <row r="1396" spans="1:9">
      <c r="A1396" s="50">
        <v>45792</v>
      </c>
      <c r="B1396" s="51">
        <v>0.7364236111111111</v>
      </c>
      <c r="C1396" t="s">
        <v>167</v>
      </c>
      <c r="D1396" t="s">
        <v>35</v>
      </c>
      <c r="E1396" t="s">
        <v>360</v>
      </c>
      <c r="F1396" t="s">
        <v>666</v>
      </c>
      <c r="G1396">
        <v>-1000</v>
      </c>
      <c r="H1396" t="s">
        <v>170</v>
      </c>
      <c r="I1396" t="s">
        <v>171</v>
      </c>
    </row>
    <row r="1397" spans="1:9">
      <c r="A1397" s="50">
        <v>45792</v>
      </c>
      <c r="B1397" s="51">
        <v>0.7359953703703703</v>
      </c>
      <c r="C1397" t="s">
        <v>167</v>
      </c>
      <c r="D1397" t="s">
        <v>35</v>
      </c>
      <c r="E1397" t="s">
        <v>360</v>
      </c>
      <c r="F1397" t="s">
        <v>666</v>
      </c>
      <c r="G1397">
        <v>-1000</v>
      </c>
      <c r="H1397" t="s">
        <v>170</v>
      </c>
      <c r="I1397" t="s">
        <v>171</v>
      </c>
    </row>
    <row r="1398" spans="1:9">
      <c r="A1398" s="50">
        <v>45792</v>
      </c>
      <c r="B1398" s="51">
        <v>0.7348263888888888</v>
      </c>
      <c r="C1398" t="s">
        <v>167</v>
      </c>
      <c r="D1398" t="s">
        <v>35</v>
      </c>
      <c r="E1398" t="s">
        <v>360</v>
      </c>
      <c r="F1398" t="s">
        <v>666</v>
      </c>
      <c r="G1398">
        <v>-3000</v>
      </c>
      <c r="H1398" t="s">
        <v>170</v>
      </c>
      <c r="I1398" t="s">
        <v>171</v>
      </c>
    </row>
    <row r="1399" spans="1:9">
      <c r="A1399" s="50">
        <v>45792</v>
      </c>
      <c r="B1399" s="51">
        <v>0.7339699074074074</v>
      </c>
      <c r="C1399" t="s">
        <v>167</v>
      </c>
      <c r="D1399" t="s">
        <v>35</v>
      </c>
      <c r="E1399" t="s">
        <v>360</v>
      </c>
      <c r="F1399" t="s">
        <v>666</v>
      </c>
      <c r="G1399">
        <v>-3000</v>
      </c>
      <c r="H1399" t="s">
        <v>170</v>
      </c>
      <c r="I1399" t="s">
        <v>171</v>
      </c>
    </row>
    <row r="1400" spans="1:9">
      <c r="A1400" s="50">
        <v>45792</v>
      </c>
      <c r="B1400" s="51">
        <v>0.6929282407407408</v>
      </c>
      <c r="C1400" t="s">
        <v>167</v>
      </c>
      <c r="D1400" t="s">
        <v>40</v>
      </c>
      <c r="E1400" t="s">
        <v>356</v>
      </c>
      <c r="F1400" t="s">
        <v>624</v>
      </c>
      <c r="G1400">
        <v>-12850</v>
      </c>
      <c r="H1400" t="s">
        <v>170</v>
      </c>
      <c r="I1400" t="s">
        <v>171</v>
      </c>
    </row>
    <row r="1401" spans="1:9">
      <c r="A1401" s="50">
        <v>45792</v>
      </c>
      <c r="B1401" s="51">
        <v>0.6011805555555556</v>
      </c>
      <c r="C1401" t="s">
        <v>167</v>
      </c>
      <c r="D1401" t="s">
        <v>46</v>
      </c>
      <c r="E1401" t="s">
        <v>168</v>
      </c>
      <c r="F1401" t="s">
        <v>623</v>
      </c>
      <c r="G1401">
        <v>-2500</v>
      </c>
      <c r="H1401" t="s">
        <v>170</v>
      </c>
      <c r="I1401" t="s">
        <v>171</v>
      </c>
    </row>
    <row r="1402" spans="1:9">
      <c r="A1402" s="50">
        <v>45792</v>
      </c>
      <c r="B1402" s="51">
        <v>0.5326620370370371</v>
      </c>
      <c r="C1402" t="s">
        <v>172</v>
      </c>
      <c r="D1402" t="s">
        <v>195</v>
      </c>
      <c r="E1402" t="s">
        <v>173</v>
      </c>
      <c r="F1402" t="s">
        <v>196</v>
      </c>
      <c r="G1402">
        <v>-1000000</v>
      </c>
      <c r="H1402" t="s">
        <v>170</v>
      </c>
      <c r="I1402" t="s">
        <v>61</v>
      </c>
    </row>
    <row r="1403" spans="1:9">
      <c r="A1403" s="50">
        <v>45792</v>
      </c>
      <c r="B1403" s="51">
        <v>0.5322106481481481</v>
      </c>
      <c r="C1403" t="s">
        <v>172</v>
      </c>
      <c r="D1403" t="s">
        <v>190</v>
      </c>
      <c r="E1403" t="s">
        <v>173</v>
      </c>
      <c r="F1403" t="s">
        <v>674</v>
      </c>
      <c r="G1403">
        <v>10494959</v>
      </c>
      <c r="H1403" t="s">
        <v>170</v>
      </c>
      <c r="I1403" t="s">
        <v>61</v>
      </c>
    </row>
    <row r="1404" spans="1:9">
      <c r="A1404" s="50">
        <v>45792</v>
      </c>
      <c r="B1404" s="51">
        <v>0.1305902777777778</v>
      </c>
      <c r="C1404" t="s">
        <v>172</v>
      </c>
      <c r="D1404" t="s">
        <v>200</v>
      </c>
      <c r="E1404" t="s">
        <v>173</v>
      </c>
      <c r="F1404" t="s">
        <v>201</v>
      </c>
      <c r="G1404">
        <v>-51381</v>
      </c>
      <c r="H1404" t="s">
        <v>170</v>
      </c>
      <c r="I1404" t="s">
        <v>61</v>
      </c>
    </row>
    <row r="1405" spans="1:9">
      <c r="A1405" s="50">
        <v>45791</v>
      </c>
      <c r="B1405" s="51">
        <v>0.9288078703703704</v>
      </c>
      <c r="C1405" t="s">
        <v>167</v>
      </c>
      <c r="D1405" t="s">
        <v>38</v>
      </c>
      <c r="E1405" t="s">
        <v>181</v>
      </c>
      <c r="F1405" t="s">
        <v>619</v>
      </c>
      <c r="G1405">
        <v>-3600</v>
      </c>
      <c r="H1405" t="s">
        <v>170</v>
      </c>
      <c r="I1405" t="s">
        <v>171</v>
      </c>
    </row>
    <row r="1406" spans="1:9">
      <c r="A1406" s="50">
        <v>45790</v>
      </c>
      <c r="B1406" s="51">
        <v>0.6840972222222222</v>
      </c>
      <c r="C1406" t="s">
        <v>167</v>
      </c>
      <c r="D1406" t="s">
        <v>38</v>
      </c>
      <c r="E1406" t="s">
        <v>181</v>
      </c>
      <c r="F1406" t="s">
        <v>619</v>
      </c>
      <c r="G1406">
        <v>-3600</v>
      </c>
      <c r="H1406" t="s">
        <v>170</v>
      </c>
      <c r="I1406" t="s">
        <v>171</v>
      </c>
    </row>
    <row r="1407" spans="1:9">
      <c r="A1407" s="50">
        <v>45789</v>
      </c>
      <c r="B1407" s="51">
        <v>0.7788310185185185</v>
      </c>
      <c r="C1407" t="s">
        <v>172</v>
      </c>
      <c r="D1407" t="s">
        <v>195</v>
      </c>
      <c r="E1407" t="s">
        <v>173</v>
      </c>
      <c r="F1407" t="s">
        <v>7</v>
      </c>
      <c r="G1407">
        <v>700000</v>
      </c>
      <c r="H1407" t="s">
        <v>170</v>
      </c>
      <c r="I1407" t="s">
        <v>67</v>
      </c>
    </row>
    <row r="1408" spans="1:9">
      <c r="A1408" s="50">
        <v>45789</v>
      </c>
      <c r="B1408" s="51">
        <v>0.7788310185185185</v>
      </c>
      <c r="C1408" t="s">
        <v>172</v>
      </c>
      <c r="D1408" t="s">
        <v>195</v>
      </c>
      <c r="E1408" t="s">
        <v>173</v>
      </c>
      <c r="F1408" t="s">
        <v>675</v>
      </c>
      <c r="G1408">
        <v>-700000</v>
      </c>
      <c r="H1408" t="s">
        <v>170</v>
      </c>
      <c r="I1408" t="s">
        <v>59</v>
      </c>
    </row>
    <row r="1409" spans="1:9">
      <c r="A1409" s="50">
        <v>45789</v>
      </c>
      <c r="B1409" s="51">
        <v>0.6939467592592593</v>
      </c>
      <c r="C1409" t="s">
        <v>167</v>
      </c>
      <c r="D1409" t="s">
        <v>34</v>
      </c>
      <c r="E1409" t="s">
        <v>208</v>
      </c>
      <c r="F1409" t="s">
        <v>676</v>
      </c>
      <c r="G1409">
        <v>-12060</v>
      </c>
      <c r="H1409" t="s">
        <v>170</v>
      </c>
      <c r="I1409" t="s">
        <v>426</v>
      </c>
    </row>
    <row r="1410" spans="1:9">
      <c r="A1410" s="50">
        <v>45789</v>
      </c>
      <c r="B1410" s="51">
        <v>0.5178356481481482</v>
      </c>
      <c r="C1410" t="s">
        <v>233</v>
      </c>
      <c r="D1410" t="s">
        <v>28</v>
      </c>
      <c r="E1410" t="s">
        <v>173</v>
      </c>
      <c r="F1410" t="s">
        <v>628</v>
      </c>
      <c r="G1410">
        <v>121</v>
      </c>
      <c r="H1410" t="s">
        <v>170</v>
      </c>
      <c r="I1410" t="s">
        <v>60</v>
      </c>
    </row>
    <row r="1411" spans="1:9">
      <c r="A1411" s="50">
        <v>45789</v>
      </c>
      <c r="B1411" s="51">
        <v>0.3418865740740741</v>
      </c>
      <c r="C1411" t="s">
        <v>167</v>
      </c>
      <c r="D1411" t="s">
        <v>46</v>
      </c>
      <c r="E1411" t="s">
        <v>168</v>
      </c>
      <c r="F1411" t="s">
        <v>616</v>
      </c>
      <c r="G1411">
        <v>-2000</v>
      </c>
      <c r="H1411" t="s">
        <v>170</v>
      </c>
      <c r="I1411" t="s">
        <v>171</v>
      </c>
    </row>
    <row r="1412" spans="1:9">
      <c r="A1412" s="50">
        <v>45789</v>
      </c>
      <c r="B1412" s="51">
        <v>0.2696759259259259</v>
      </c>
      <c r="C1412" t="s">
        <v>167</v>
      </c>
      <c r="D1412" t="s">
        <v>45</v>
      </c>
      <c r="E1412" t="s">
        <v>185</v>
      </c>
      <c r="F1412" t="s">
        <v>677</v>
      </c>
      <c r="G1412">
        <v>-91240</v>
      </c>
      <c r="H1412" t="s">
        <v>170</v>
      </c>
      <c r="I1412" t="s">
        <v>187</v>
      </c>
    </row>
    <row r="1413" spans="1:9">
      <c r="A1413" s="50">
        <v>45788</v>
      </c>
      <c r="B1413" s="51">
        <v>0.6807986111111111</v>
      </c>
      <c r="C1413" t="s">
        <v>167</v>
      </c>
      <c r="D1413" t="s">
        <v>40</v>
      </c>
      <c r="E1413" t="s">
        <v>261</v>
      </c>
      <c r="F1413" t="s">
        <v>678</v>
      </c>
      <c r="G1413">
        <v>-24000</v>
      </c>
      <c r="H1413" t="s">
        <v>170</v>
      </c>
      <c r="I1413" t="s">
        <v>237</v>
      </c>
    </row>
    <row r="1414" spans="1:9">
      <c r="A1414" s="50">
        <v>45788</v>
      </c>
      <c r="B1414" s="51">
        <v>0.6489583333333333</v>
      </c>
      <c r="C1414" t="s">
        <v>167</v>
      </c>
      <c r="D1414" t="s">
        <v>42</v>
      </c>
      <c r="E1414" t="s">
        <v>235</v>
      </c>
      <c r="F1414" t="s">
        <v>242</v>
      </c>
      <c r="G1414">
        <v>-9690</v>
      </c>
      <c r="H1414" t="s">
        <v>170</v>
      </c>
      <c r="I1414" t="s">
        <v>243</v>
      </c>
    </row>
    <row r="1415" spans="1:9">
      <c r="A1415" s="50">
        <v>45788</v>
      </c>
      <c r="B1415" s="51">
        <v>0.6485879629629629</v>
      </c>
      <c r="C1415" t="s">
        <v>172</v>
      </c>
      <c r="D1415" t="s">
        <v>172</v>
      </c>
      <c r="E1415" t="s">
        <v>173</v>
      </c>
      <c r="F1415" t="s">
        <v>202</v>
      </c>
      <c r="G1415">
        <v>-15550</v>
      </c>
      <c r="H1415" t="s">
        <v>170</v>
      </c>
      <c r="I1415" t="s">
        <v>60</v>
      </c>
    </row>
    <row r="1416" spans="1:9">
      <c r="A1416" s="50">
        <v>45788</v>
      </c>
      <c r="B1416" s="51">
        <v>0.3451273148148148</v>
      </c>
      <c r="C1416" t="s">
        <v>167</v>
      </c>
      <c r="D1416" t="s">
        <v>40</v>
      </c>
      <c r="E1416" t="s">
        <v>261</v>
      </c>
      <c r="F1416" t="s">
        <v>262</v>
      </c>
      <c r="G1416">
        <v>-16500</v>
      </c>
      <c r="H1416" t="s">
        <v>170</v>
      </c>
      <c r="I1416" t="s">
        <v>243</v>
      </c>
    </row>
    <row r="1417" spans="1:9">
      <c r="A1417" s="50">
        <v>45787</v>
      </c>
      <c r="B1417" s="51">
        <v>0.7347685185185185</v>
      </c>
      <c r="C1417" t="s">
        <v>167</v>
      </c>
      <c r="D1417" t="s">
        <v>46</v>
      </c>
      <c r="E1417" t="s">
        <v>168</v>
      </c>
      <c r="F1417" t="s">
        <v>593</v>
      </c>
      <c r="G1417">
        <v>-1800</v>
      </c>
      <c r="H1417" t="s">
        <v>170</v>
      </c>
      <c r="I1417" t="s">
        <v>171</v>
      </c>
    </row>
    <row r="1418" spans="1:9">
      <c r="A1418" s="50">
        <v>45787</v>
      </c>
      <c r="B1418" s="51">
        <v>0.7251504629629629</v>
      </c>
      <c r="C1418" t="s">
        <v>167</v>
      </c>
      <c r="D1418" t="s">
        <v>40</v>
      </c>
      <c r="E1418" t="s">
        <v>383</v>
      </c>
      <c r="F1418" t="s">
        <v>679</v>
      </c>
      <c r="G1418">
        <v>-69500</v>
      </c>
      <c r="H1418" t="s">
        <v>170</v>
      </c>
      <c r="I1418" t="s">
        <v>171</v>
      </c>
    </row>
    <row r="1419" spans="1:9">
      <c r="A1419" s="50">
        <v>45787</v>
      </c>
      <c r="B1419" s="51">
        <v>0.6851273148148148</v>
      </c>
      <c r="C1419" t="s">
        <v>167</v>
      </c>
      <c r="D1419" t="s">
        <v>46</v>
      </c>
      <c r="E1419" t="s">
        <v>405</v>
      </c>
      <c r="F1419" t="s">
        <v>680</v>
      </c>
      <c r="G1419">
        <v>-6700</v>
      </c>
      <c r="H1419" t="s">
        <v>170</v>
      </c>
      <c r="I1419" t="s">
        <v>171</v>
      </c>
    </row>
    <row r="1420" spans="1:9">
      <c r="A1420" s="50">
        <v>45787</v>
      </c>
      <c r="B1420" s="51">
        <v>0.6808449074074074</v>
      </c>
      <c r="C1420" t="s">
        <v>167</v>
      </c>
      <c r="D1420" t="s">
        <v>42</v>
      </c>
      <c r="E1420" t="s">
        <v>188</v>
      </c>
      <c r="F1420" t="s">
        <v>189</v>
      </c>
      <c r="G1420">
        <v>-16000</v>
      </c>
      <c r="H1420" t="s">
        <v>170</v>
      </c>
      <c r="I1420" t="s">
        <v>171</v>
      </c>
    </row>
    <row r="1421" spans="1:9">
      <c r="A1421" s="50">
        <v>45787</v>
      </c>
      <c r="B1421" s="51">
        <v>0.4980439814814815</v>
      </c>
      <c r="C1421" t="s">
        <v>167</v>
      </c>
      <c r="D1421" t="s">
        <v>43</v>
      </c>
      <c r="E1421" t="s">
        <v>203</v>
      </c>
      <c r="F1421" t="s">
        <v>615</v>
      </c>
      <c r="G1421">
        <v>-6000</v>
      </c>
      <c r="H1421" t="s">
        <v>170</v>
      </c>
      <c r="I1421" t="s">
        <v>171</v>
      </c>
    </row>
    <row r="1422" spans="1:9">
      <c r="A1422" s="50">
        <v>45787</v>
      </c>
      <c r="B1422" s="51">
        <v>0.2753009259259259</v>
      </c>
      <c r="C1422" t="s">
        <v>167</v>
      </c>
      <c r="D1422" t="s">
        <v>35</v>
      </c>
      <c r="E1422" t="s">
        <v>360</v>
      </c>
      <c r="F1422" t="s">
        <v>681</v>
      </c>
      <c r="G1422">
        <v>-19800</v>
      </c>
      <c r="H1422" t="s">
        <v>170</v>
      </c>
      <c r="I1422" t="s">
        <v>237</v>
      </c>
    </row>
    <row r="1423" spans="1:9">
      <c r="A1423" s="50">
        <v>45787</v>
      </c>
      <c r="B1423" s="51">
        <v>0.07493055555555556</v>
      </c>
      <c r="C1423" t="s">
        <v>172</v>
      </c>
      <c r="D1423" t="s">
        <v>172</v>
      </c>
      <c r="E1423" t="s">
        <v>173</v>
      </c>
      <c r="F1423" t="s">
        <v>682</v>
      </c>
      <c r="G1423">
        <v>-50000</v>
      </c>
      <c r="H1423" t="s">
        <v>170</v>
      </c>
      <c r="I1423" t="s">
        <v>60</v>
      </c>
    </row>
    <row r="1424" spans="1:9">
      <c r="A1424" s="50">
        <v>45787</v>
      </c>
      <c r="B1424" s="51">
        <v>0.04974537037037037</v>
      </c>
      <c r="C1424" t="s">
        <v>167</v>
      </c>
      <c r="D1424" t="s">
        <v>38</v>
      </c>
      <c r="E1424" t="s">
        <v>181</v>
      </c>
      <c r="F1424" t="s">
        <v>619</v>
      </c>
      <c r="G1424">
        <v>-7900</v>
      </c>
      <c r="H1424" t="s">
        <v>170</v>
      </c>
      <c r="I1424" t="s">
        <v>171</v>
      </c>
    </row>
    <row r="1425" spans="1:9">
      <c r="A1425" s="50">
        <v>45787</v>
      </c>
      <c r="B1425" s="51">
        <v>0.03032407407407407</v>
      </c>
      <c r="C1425" t="s">
        <v>172</v>
      </c>
      <c r="D1425" t="s">
        <v>195</v>
      </c>
      <c r="E1425" t="s">
        <v>173</v>
      </c>
      <c r="F1425" t="s">
        <v>7</v>
      </c>
      <c r="G1425">
        <v>-50000</v>
      </c>
      <c r="H1425" t="s">
        <v>170</v>
      </c>
      <c r="I1425" t="s">
        <v>59</v>
      </c>
    </row>
    <row r="1426" spans="1:9">
      <c r="A1426" s="50">
        <v>45786</v>
      </c>
      <c r="B1426" s="51">
        <v>0.4952546296296296</v>
      </c>
      <c r="C1426" t="s">
        <v>167</v>
      </c>
      <c r="D1426" t="s">
        <v>40</v>
      </c>
      <c r="E1426" t="s">
        <v>261</v>
      </c>
      <c r="F1426" t="s">
        <v>678</v>
      </c>
      <c r="G1426">
        <v>-21200</v>
      </c>
      <c r="H1426" t="s">
        <v>170</v>
      </c>
      <c r="I1426" t="s">
        <v>237</v>
      </c>
    </row>
    <row r="1427" spans="1:9">
      <c r="A1427" s="50">
        <v>45785</v>
      </c>
      <c r="B1427" s="51">
        <v>0.5446412037037037</v>
      </c>
      <c r="C1427" t="s">
        <v>167</v>
      </c>
      <c r="D1427" t="s">
        <v>46</v>
      </c>
      <c r="E1427" t="s">
        <v>168</v>
      </c>
      <c r="F1427" t="s">
        <v>616</v>
      </c>
      <c r="G1427">
        <v>-1500</v>
      </c>
      <c r="H1427" t="s">
        <v>170</v>
      </c>
      <c r="I1427" t="s">
        <v>171</v>
      </c>
    </row>
    <row r="1428" spans="1:9">
      <c r="A1428" s="50">
        <v>45785</v>
      </c>
      <c r="B1428" s="51">
        <v>0.5365856481481481</v>
      </c>
      <c r="C1428" t="s">
        <v>167</v>
      </c>
      <c r="D1428" t="s">
        <v>46</v>
      </c>
      <c r="E1428" t="s">
        <v>423</v>
      </c>
      <c r="F1428" t="s">
        <v>683</v>
      </c>
      <c r="G1428">
        <v>-6000</v>
      </c>
      <c r="H1428" t="s">
        <v>170</v>
      </c>
      <c r="I1428" t="s">
        <v>171</v>
      </c>
    </row>
    <row r="1429" spans="1:9">
      <c r="A1429" s="50">
        <v>45785</v>
      </c>
      <c r="B1429" s="51">
        <v>0.5330902777777777</v>
      </c>
      <c r="C1429" t="s">
        <v>167</v>
      </c>
      <c r="D1429" t="s">
        <v>37</v>
      </c>
      <c r="E1429" t="s">
        <v>350</v>
      </c>
      <c r="F1429" t="s">
        <v>618</v>
      </c>
      <c r="G1429">
        <v>-22000</v>
      </c>
      <c r="H1429" t="s">
        <v>170</v>
      </c>
      <c r="I1429" t="s">
        <v>171</v>
      </c>
    </row>
    <row r="1430" spans="1:9">
      <c r="A1430" s="50">
        <v>45785</v>
      </c>
      <c r="B1430" s="51">
        <v>0.06261574074074074</v>
      </c>
      <c r="C1430" t="s">
        <v>167</v>
      </c>
      <c r="D1430" t="s">
        <v>42</v>
      </c>
      <c r="E1430" t="s">
        <v>338</v>
      </c>
      <c r="F1430" t="s">
        <v>339</v>
      </c>
      <c r="G1430">
        <v>-1500</v>
      </c>
      <c r="H1430" t="s">
        <v>170</v>
      </c>
      <c r="I1430" t="s">
        <v>187</v>
      </c>
    </row>
    <row r="1431" spans="1:9">
      <c r="A1431" s="50">
        <v>45784</v>
      </c>
      <c r="B1431" s="51">
        <v>0.6246759259259259</v>
      </c>
      <c r="C1431" t="s">
        <v>172</v>
      </c>
      <c r="D1431" t="s">
        <v>195</v>
      </c>
      <c r="E1431" t="s">
        <v>173</v>
      </c>
      <c r="F1431" t="s">
        <v>7</v>
      </c>
      <c r="G1431">
        <v>-100000</v>
      </c>
      <c r="H1431" t="s">
        <v>170</v>
      </c>
      <c r="I1431" t="s">
        <v>59</v>
      </c>
    </row>
    <row r="1432" spans="1:9">
      <c r="A1432" s="50">
        <v>45783</v>
      </c>
      <c r="B1432" s="51">
        <v>0.4526851851851852</v>
      </c>
      <c r="C1432" t="s">
        <v>167</v>
      </c>
      <c r="D1432" t="s">
        <v>46</v>
      </c>
      <c r="E1432" t="s">
        <v>405</v>
      </c>
      <c r="F1432" t="s">
        <v>680</v>
      </c>
      <c r="G1432">
        <v>-4500</v>
      </c>
      <c r="H1432" t="s">
        <v>170</v>
      </c>
      <c r="I1432" t="s">
        <v>171</v>
      </c>
    </row>
    <row r="1433" spans="1:9">
      <c r="A1433" s="50">
        <v>45783</v>
      </c>
      <c r="B1433" s="51">
        <v>0.4408912037037037</v>
      </c>
      <c r="C1433" t="s">
        <v>167</v>
      </c>
      <c r="D1433" t="s">
        <v>38</v>
      </c>
      <c r="E1433" t="s">
        <v>259</v>
      </c>
      <c r="F1433" t="s">
        <v>665</v>
      </c>
      <c r="G1433">
        <v>-26440</v>
      </c>
      <c r="H1433" t="s">
        <v>170</v>
      </c>
      <c r="I1433" t="s">
        <v>171</v>
      </c>
    </row>
    <row r="1434" spans="1:9">
      <c r="A1434" s="50">
        <v>45783</v>
      </c>
      <c r="B1434" s="51">
        <v>0.1135185185185185</v>
      </c>
      <c r="C1434" t="s">
        <v>167</v>
      </c>
      <c r="D1434" t="s">
        <v>35</v>
      </c>
      <c r="E1434" t="s">
        <v>360</v>
      </c>
      <c r="F1434" t="s">
        <v>666</v>
      </c>
      <c r="G1434">
        <v>-1000</v>
      </c>
      <c r="H1434" t="s">
        <v>170</v>
      </c>
      <c r="I1434" t="s">
        <v>171</v>
      </c>
    </row>
    <row r="1435" spans="1:9">
      <c r="A1435" s="50">
        <v>45783</v>
      </c>
      <c r="B1435" s="51">
        <v>0.1130902777777778</v>
      </c>
      <c r="C1435" t="s">
        <v>167</v>
      </c>
      <c r="D1435" t="s">
        <v>35</v>
      </c>
      <c r="E1435" t="s">
        <v>360</v>
      </c>
      <c r="F1435" t="s">
        <v>666</v>
      </c>
      <c r="G1435">
        <v>-1000</v>
      </c>
      <c r="H1435" t="s">
        <v>170</v>
      </c>
      <c r="I1435" t="s">
        <v>171</v>
      </c>
    </row>
    <row r="1436" spans="1:9">
      <c r="A1436" s="50">
        <v>45783</v>
      </c>
      <c r="B1436" s="51">
        <v>0.1092013888888889</v>
      </c>
      <c r="C1436" t="s">
        <v>167</v>
      </c>
      <c r="D1436" t="s">
        <v>38</v>
      </c>
      <c r="E1436" t="s">
        <v>181</v>
      </c>
      <c r="F1436" t="s">
        <v>684</v>
      </c>
      <c r="G1436">
        <v>-28000</v>
      </c>
      <c r="H1436" t="s">
        <v>170</v>
      </c>
      <c r="I1436" t="s">
        <v>171</v>
      </c>
    </row>
    <row r="1437" spans="1:9">
      <c r="A1437" s="50">
        <v>45782</v>
      </c>
      <c r="B1437" s="51">
        <v>0.8674884259259259</v>
      </c>
      <c r="C1437" t="s">
        <v>167</v>
      </c>
      <c r="D1437" t="s">
        <v>42</v>
      </c>
      <c r="E1437" t="s">
        <v>188</v>
      </c>
      <c r="F1437" t="s">
        <v>231</v>
      </c>
      <c r="G1437">
        <v>-14900</v>
      </c>
      <c r="H1437" t="s">
        <v>170</v>
      </c>
      <c r="I1437" t="s">
        <v>187</v>
      </c>
    </row>
    <row r="1438" spans="1:9">
      <c r="A1438" s="50">
        <v>45782</v>
      </c>
      <c r="B1438" s="51">
        <v>0.4458680555555555</v>
      </c>
      <c r="C1438" t="s">
        <v>167</v>
      </c>
      <c r="D1438" t="s">
        <v>42</v>
      </c>
      <c r="E1438" t="s">
        <v>188</v>
      </c>
      <c r="F1438" t="s">
        <v>320</v>
      </c>
      <c r="G1438">
        <v>-7890</v>
      </c>
      <c r="H1438" t="s">
        <v>170</v>
      </c>
      <c r="I1438" t="s">
        <v>243</v>
      </c>
    </row>
    <row r="1439" spans="1:9">
      <c r="A1439" s="50">
        <v>45782</v>
      </c>
      <c r="B1439" s="51">
        <v>0.02122685185185185</v>
      </c>
      <c r="C1439" t="s">
        <v>172</v>
      </c>
      <c r="D1439" t="s">
        <v>172</v>
      </c>
      <c r="E1439" t="s">
        <v>173</v>
      </c>
      <c r="F1439" t="s">
        <v>202</v>
      </c>
      <c r="G1439">
        <v>-30700</v>
      </c>
      <c r="H1439" t="s">
        <v>170</v>
      </c>
      <c r="I1439" t="s">
        <v>60</v>
      </c>
    </row>
    <row r="1440" spans="1:9">
      <c r="A1440" s="50">
        <v>45781</v>
      </c>
      <c r="B1440" s="51">
        <v>0.8888078703703703</v>
      </c>
      <c r="C1440" t="s">
        <v>167</v>
      </c>
      <c r="D1440" t="s">
        <v>40</v>
      </c>
      <c r="E1440" t="s">
        <v>383</v>
      </c>
      <c r="F1440" t="s">
        <v>685</v>
      </c>
      <c r="G1440">
        <v>-61800</v>
      </c>
      <c r="H1440" t="s">
        <v>170</v>
      </c>
      <c r="I1440" t="s">
        <v>171</v>
      </c>
    </row>
    <row r="1441" spans="1:9">
      <c r="A1441" s="50">
        <v>45781</v>
      </c>
      <c r="B1441" s="51">
        <v>0.7228587962962963</v>
      </c>
      <c r="C1441" t="s">
        <v>167</v>
      </c>
      <c r="D1441" t="s">
        <v>38</v>
      </c>
      <c r="E1441" t="s">
        <v>259</v>
      </c>
      <c r="F1441" t="s">
        <v>474</v>
      </c>
      <c r="G1441">
        <v>-65250</v>
      </c>
      <c r="H1441" t="s">
        <v>170</v>
      </c>
      <c r="I1441" t="s">
        <v>187</v>
      </c>
    </row>
    <row r="1442" spans="1:9">
      <c r="A1442" s="50">
        <v>45781</v>
      </c>
      <c r="B1442" s="51">
        <v>0.03695601851851852</v>
      </c>
      <c r="C1442" t="s">
        <v>167</v>
      </c>
      <c r="D1442" t="s">
        <v>42</v>
      </c>
      <c r="E1442" t="s">
        <v>188</v>
      </c>
      <c r="F1442" t="s">
        <v>252</v>
      </c>
      <c r="G1442">
        <v>-13500</v>
      </c>
      <c r="H1442" t="s">
        <v>170</v>
      </c>
      <c r="I1442" t="s">
        <v>253</v>
      </c>
    </row>
    <row r="1443" spans="1:9">
      <c r="A1443" s="50">
        <v>45780</v>
      </c>
      <c r="B1443" s="51">
        <v>0.4639699074074074</v>
      </c>
      <c r="C1443" t="s">
        <v>167</v>
      </c>
      <c r="D1443" t="s">
        <v>40</v>
      </c>
      <c r="E1443" t="s">
        <v>176</v>
      </c>
      <c r="F1443" t="s">
        <v>592</v>
      </c>
      <c r="G1443">
        <v>-30000</v>
      </c>
      <c r="H1443" t="s">
        <v>170</v>
      </c>
      <c r="I1443" t="s">
        <v>171</v>
      </c>
    </row>
    <row r="1444" spans="1:9">
      <c r="A1444" s="50">
        <v>45780</v>
      </c>
      <c r="B1444" s="51">
        <v>0.4388657407407408</v>
      </c>
      <c r="C1444" t="s">
        <v>167</v>
      </c>
      <c r="D1444" t="s">
        <v>40</v>
      </c>
      <c r="E1444" t="s">
        <v>324</v>
      </c>
      <c r="F1444" t="s">
        <v>686</v>
      </c>
      <c r="G1444">
        <v>-9900</v>
      </c>
      <c r="H1444" t="s">
        <v>170</v>
      </c>
      <c r="I1444" t="s">
        <v>171</v>
      </c>
    </row>
    <row r="1445" spans="1:9">
      <c r="A1445" s="50">
        <v>45780</v>
      </c>
      <c r="B1445" s="51">
        <v>0.3120601851851852</v>
      </c>
      <c r="C1445" t="s">
        <v>167</v>
      </c>
      <c r="D1445" t="s">
        <v>42</v>
      </c>
      <c r="E1445" t="s">
        <v>188</v>
      </c>
      <c r="F1445" t="s">
        <v>256</v>
      </c>
      <c r="G1445">
        <v>-2990</v>
      </c>
      <c r="H1445" t="s">
        <v>170</v>
      </c>
      <c r="I1445" t="s">
        <v>237</v>
      </c>
    </row>
    <row r="1446" spans="1:9">
      <c r="A1446" s="50">
        <v>45779</v>
      </c>
      <c r="B1446" s="51">
        <v>0.9976736111111111</v>
      </c>
      <c r="C1446" t="s">
        <v>167</v>
      </c>
      <c r="D1446" t="s">
        <v>40</v>
      </c>
      <c r="E1446" t="s">
        <v>261</v>
      </c>
      <c r="F1446" t="s">
        <v>687</v>
      </c>
      <c r="G1446">
        <v>-28500</v>
      </c>
      <c r="H1446" t="s">
        <v>170</v>
      </c>
      <c r="I1446" t="s">
        <v>237</v>
      </c>
    </row>
    <row r="1447" spans="1:9">
      <c r="A1447" s="50">
        <v>45779</v>
      </c>
      <c r="B1447" s="51">
        <v>0.1773611111111111</v>
      </c>
      <c r="C1447" t="s">
        <v>167</v>
      </c>
      <c r="D1447" t="s">
        <v>42</v>
      </c>
      <c r="E1447" t="s">
        <v>338</v>
      </c>
      <c r="F1447" t="s">
        <v>339</v>
      </c>
      <c r="G1447">
        <v>-49000</v>
      </c>
      <c r="H1447" t="s">
        <v>170</v>
      </c>
      <c r="I1447" t="s">
        <v>187</v>
      </c>
    </row>
    <row r="1448" spans="1:9">
      <c r="A1448" s="50">
        <v>45778</v>
      </c>
      <c r="B1448" s="51">
        <v>0.9064814814814814</v>
      </c>
      <c r="C1448" t="s">
        <v>167</v>
      </c>
      <c r="D1448" t="s">
        <v>42</v>
      </c>
      <c r="E1448" t="s">
        <v>338</v>
      </c>
      <c r="F1448" t="s">
        <v>339</v>
      </c>
      <c r="G1448">
        <v>-8800</v>
      </c>
      <c r="H1448" t="s">
        <v>170</v>
      </c>
      <c r="I1448" t="s">
        <v>187</v>
      </c>
    </row>
    <row r="1449" spans="1:9">
      <c r="A1449" s="50">
        <v>45778</v>
      </c>
      <c r="B1449" s="51">
        <v>0.8386805555555555</v>
      </c>
      <c r="C1449" t="s">
        <v>167</v>
      </c>
      <c r="D1449" t="s">
        <v>40</v>
      </c>
      <c r="E1449" t="s">
        <v>261</v>
      </c>
      <c r="F1449" t="s">
        <v>262</v>
      </c>
      <c r="G1449">
        <v>-29000</v>
      </c>
      <c r="H1449" t="s">
        <v>170</v>
      </c>
      <c r="I1449" t="s">
        <v>243</v>
      </c>
    </row>
    <row r="1450" spans="1:9">
      <c r="A1450" s="50">
        <v>45778</v>
      </c>
      <c r="B1450" s="51">
        <v>0.06792824074074075</v>
      </c>
      <c r="C1450" t="s">
        <v>167</v>
      </c>
      <c r="D1450" t="s">
        <v>38</v>
      </c>
      <c r="E1450" t="s">
        <v>181</v>
      </c>
      <c r="F1450" t="s">
        <v>619</v>
      </c>
      <c r="G1450">
        <v>-5000</v>
      </c>
      <c r="H1450" t="s">
        <v>170</v>
      </c>
      <c r="I1450" t="s">
        <v>243</v>
      </c>
    </row>
    <row r="1451" spans="1:9">
      <c r="A1451" s="50">
        <v>45777</v>
      </c>
      <c r="B1451" s="51">
        <v>0.8206481481481481</v>
      </c>
      <c r="C1451" t="s">
        <v>167</v>
      </c>
      <c r="D1451" t="s">
        <v>42</v>
      </c>
      <c r="E1451" t="s">
        <v>338</v>
      </c>
      <c r="F1451" t="s">
        <v>339</v>
      </c>
      <c r="G1451">
        <v>-29000</v>
      </c>
      <c r="H1451" t="s">
        <v>170</v>
      </c>
      <c r="I1451" t="s">
        <v>187</v>
      </c>
    </row>
    <row r="1452" spans="1:9">
      <c r="A1452" s="50">
        <v>45777</v>
      </c>
      <c r="B1452" s="51">
        <v>0.02002314814814815</v>
      </c>
      <c r="C1452" t="s">
        <v>172</v>
      </c>
      <c r="D1452" t="s">
        <v>172</v>
      </c>
      <c r="E1452" t="s">
        <v>173</v>
      </c>
      <c r="F1452" t="s">
        <v>604</v>
      </c>
      <c r="G1452">
        <v>-150000</v>
      </c>
      <c r="H1452" t="s">
        <v>170</v>
      </c>
      <c r="I1452" t="s">
        <v>59</v>
      </c>
    </row>
    <row r="1453" spans="1:9">
      <c r="A1453" s="50">
        <v>45777</v>
      </c>
      <c r="B1453" s="51">
        <v>0.01962962962962963</v>
      </c>
      <c r="C1453" t="s">
        <v>172</v>
      </c>
      <c r="D1453" t="s">
        <v>195</v>
      </c>
      <c r="E1453" t="s">
        <v>173</v>
      </c>
      <c r="F1453" t="s">
        <v>264</v>
      </c>
      <c r="G1453">
        <v>98000</v>
      </c>
      <c r="H1453" t="s">
        <v>170</v>
      </c>
      <c r="I1453" t="s">
        <v>175</v>
      </c>
    </row>
    <row r="1454" spans="1:9">
      <c r="A1454" s="50">
        <v>45777</v>
      </c>
      <c r="B1454" s="51">
        <v>0.01962962962962963</v>
      </c>
      <c r="C1454" t="s">
        <v>167</v>
      </c>
      <c r="D1454" t="s">
        <v>34</v>
      </c>
      <c r="E1454" t="s">
        <v>208</v>
      </c>
      <c r="F1454" t="s">
        <v>263</v>
      </c>
      <c r="G1454">
        <v>-100000</v>
      </c>
      <c r="H1454" t="s">
        <v>170</v>
      </c>
      <c r="I1454" t="s">
        <v>175</v>
      </c>
    </row>
    <row r="1455" spans="1:9">
      <c r="A1455" s="50">
        <v>45777</v>
      </c>
      <c r="B1455" s="51">
        <v>0.0193287037037037</v>
      </c>
      <c r="C1455" t="s">
        <v>172</v>
      </c>
      <c r="D1455" t="s">
        <v>195</v>
      </c>
      <c r="E1455" t="s">
        <v>173</v>
      </c>
      <c r="F1455" t="s">
        <v>7</v>
      </c>
      <c r="G1455">
        <v>-200000</v>
      </c>
      <c r="H1455" t="s">
        <v>170</v>
      </c>
      <c r="I1455" t="s">
        <v>59</v>
      </c>
    </row>
    <row r="1456" spans="1:9">
      <c r="A1456" s="50">
        <v>45777</v>
      </c>
      <c r="B1456" s="51">
        <v>0</v>
      </c>
      <c r="C1456" t="s">
        <v>167</v>
      </c>
      <c r="D1456" t="s">
        <v>34</v>
      </c>
      <c r="E1456" t="s">
        <v>206</v>
      </c>
      <c r="F1456" t="s">
        <v>688</v>
      </c>
      <c r="G1456">
        <v>-200</v>
      </c>
      <c r="H1456" t="s">
        <v>170</v>
      </c>
      <c r="I1456" t="s">
        <v>187</v>
      </c>
    </row>
    <row r="1457" spans="1:9">
      <c r="A1457" s="50">
        <v>45776</v>
      </c>
      <c r="B1457" s="51">
        <v>0.7663425925925926</v>
      </c>
      <c r="C1457" t="s">
        <v>167</v>
      </c>
      <c r="D1457" t="s">
        <v>40</v>
      </c>
      <c r="E1457" t="s">
        <v>261</v>
      </c>
      <c r="F1457" t="s">
        <v>262</v>
      </c>
      <c r="G1457">
        <v>-14000</v>
      </c>
      <c r="H1457" t="s">
        <v>170</v>
      </c>
      <c r="I1457" t="s">
        <v>243</v>
      </c>
    </row>
    <row r="1458" spans="1:9">
      <c r="A1458" s="50">
        <v>45776</v>
      </c>
      <c r="B1458" s="51">
        <v>0.7572337962962963</v>
      </c>
      <c r="C1458" t="s">
        <v>167</v>
      </c>
      <c r="D1458" t="s">
        <v>40</v>
      </c>
      <c r="E1458" t="s">
        <v>261</v>
      </c>
      <c r="F1458" t="s">
        <v>687</v>
      </c>
      <c r="G1458">
        <v>-16600</v>
      </c>
      <c r="H1458" t="s">
        <v>170</v>
      </c>
      <c r="I1458" t="s">
        <v>237</v>
      </c>
    </row>
    <row r="1459" spans="1:9">
      <c r="A1459" s="50">
        <v>45775</v>
      </c>
      <c r="B1459" s="51">
        <v>0.8322453703703704</v>
      </c>
      <c r="C1459" t="s">
        <v>172</v>
      </c>
      <c r="D1459" t="s">
        <v>195</v>
      </c>
      <c r="E1459" t="s">
        <v>173</v>
      </c>
      <c r="F1459" t="s">
        <v>264</v>
      </c>
      <c r="G1459">
        <v>10000</v>
      </c>
      <c r="H1459" t="s">
        <v>170</v>
      </c>
      <c r="I1459" t="s">
        <v>175</v>
      </c>
    </row>
    <row r="1460" spans="1:9">
      <c r="A1460" s="50">
        <v>45775</v>
      </c>
      <c r="B1460" s="51">
        <v>0.8322453703703704</v>
      </c>
      <c r="C1460" t="s">
        <v>172</v>
      </c>
      <c r="D1460" t="s">
        <v>172</v>
      </c>
      <c r="E1460" t="s">
        <v>173</v>
      </c>
      <c r="F1460" t="s">
        <v>689</v>
      </c>
      <c r="G1460">
        <v>-8000</v>
      </c>
      <c r="H1460" t="s">
        <v>170</v>
      </c>
      <c r="I1460" t="s">
        <v>175</v>
      </c>
    </row>
    <row r="1461" spans="1:9">
      <c r="A1461" s="50">
        <v>45775</v>
      </c>
      <c r="B1461" s="51">
        <v>0.7516782407407407</v>
      </c>
      <c r="C1461" t="s">
        <v>167</v>
      </c>
      <c r="D1461" t="s">
        <v>45</v>
      </c>
      <c r="E1461" t="s">
        <v>185</v>
      </c>
      <c r="F1461" t="s">
        <v>569</v>
      </c>
      <c r="G1461">
        <v>-40270</v>
      </c>
      <c r="H1461" t="s">
        <v>170</v>
      </c>
      <c r="I1461" t="s">
        <v>61</v>
      </c>
    </row>
    <row r="1462" spans="1:9">
      <c r="A1462" s="50">
        <v>45775</v>
      </c>
      <c r="B1462" s="51">
        <v>0.7491666666666666</v>
      </c>
      <c r="C1462" t="s">
        <v>172</v>
      </c>
      <c r="D1462" t="s">
        <v>195</v>
      </c>
      <c r="E1462" t="s">
        <v>173</v>
      </c>
      <c r="F1462" t="s">
        <v>264</v>
      </c>
      <c r="G1462">
        <v>-200000</v>
      </c>
      <c r="H1462" t="s">
        <v>170</v>
      </c>
      <c r="I1462" t="s">
        <v>175</v>
      </c>
    </row>
    <row r="1463" spans="1:9">
      <c r="A1463" s="50">
        <v>45775</v>
      </c>
      <c r="B1463" s="51">
        <v>0.7491666666666666</v>
      </c>
      <c r="C1463" t="s">
        <v>172</v>
      </c>
      <c r="D1463" t="s">
        <v>195</v>
      </c>
      <c r="E1463" t="s">
        <v>173</v>
      </c>
      <c r="F1463" t="s">
        <v>7</v>
      </c>
      <c r="G1463">
        <v>200000</v>
      </c>
      <c r="H1463" t="s">
        <v>170</v>
      </c>
      <c r="I1463" t="s">
        <v>61</v>
      </c>
    </row>
    <row r="1464" spans="1:9">
      <c r="A1464" s="50">
        <v>45775</v>
      </c>
      <c r="B1464" s="51">
        <v>0.7101967592592593</v>
      </c>
      <c r="C1464" t="s">
        <v>167</v>
      </c>
      <c r="D1464" t="s">
        <v>45</v>
      </c>
      <c r="E1464" t="s">
        <v>185</v>
      </c>
      <c r="F1464" t="s">
        <v>569</v>
      </c>
      <c r="G1464">
        <v>-48900</v>
      </c>
      <c r="H1464" t="s">
        <v>170</v>
      </c>
      <c r="I1464" t="s">
        <v>61</v>
      </c>
    </row>
    <row r="1465" spans="1:9">
      <c r="A1465" s="50">
        <v>45775</v>
      </c>
      <c r="B1465" s="51">
        <v>0.05045138888888889</v>
      </c>
      <c r="C1465" t="s">
        <v>167</v>
      </c>
      <c r="D1465" t="s">
        <v>40</v>
      </c>
      <c r="E1465" t="s">
        <v>261</v>
      </c>
      <c r="F1465" t="s">
        <v>262</v>
      </c>
      <c r="G1465">
        <v>-28000</v>
      </c>
      <c r="H1465" t="s">
        <v>170</v>
      </c>
      <c r="I1465" t="s">
        <v>243</v>
      </c>
    </row>
    <row r="1466" spans="1:9">
      <c r="A1466" s="50">
        <v>45775</v>
      </c>
      <c r="B1466" s="51">
        <v>0</v>
      </c>
      <c r="C1466" t="s">
        <v>167</v>
      </c>
      <c r="D1466" t="s">
        <v>33</v>
      </c>
      <c r="E1466" t="s">
        <v>385</v>
      </c>
      <c r="F1466" t="s">
        <v>386</v>
      </c>
      <c r="G1466">
        <v>59800</v>
      </c>
      <c r="H1466" t="s">
        <v>170</v>
      </c>
      <c r="I1466" t="s">
        <v>237</v>
      </c>
    </row>
    <row r="1467" spans="1:9">
      <c r="A1467" s="50">
        <v>45774</v>
      </c>
      <c r="B1467" s="51">
        <v>0.8435648148148148</v>
      </c>
      <c r="C1467" t="s">
        <v>167</v>
      </c>
      <c r="D1467" t="s">
        <v>40</v>
      </c>
      <c r="E1467" t="s">
        <v>261</v>
      </c>
      <c r="F1467" t="s">
        <v>262</v>
      </c>
      <c r="G1467">
        <v>-26000</v>
      </c>
      <c r="H1467" t="s">
        <v>170</v>
      </c>
      <c r="I1467" t="s">
        <v>243</v>
      </c>
    </row>
    <row r="1468" spans="1:9">
      <c r="A1468" s="50">
        <v>45774</v>
      </c>
      <c r="B1468" s="51">
        <v>0.8407175925925926</v>
      </c>
      <c r="C1468" t="s">
        <v>172</v>
      </c>
      <c r="D1468" t="s">
        <v>172</v>
      </c>
      <c r="E1468" t="s">
        <v>173</v>
      </c>
      <c r="F1468" t="s">
        <v>352</v>
      </c>
      <c r="G1468">
        <v>200000</v>
      </c>
      <c r="H1468" t="s">
        <v>170</v>
      </c>
      <c r="I1468" t="s">
        <v>175</v>
      </c>
    </row>
    <row r="1469" spans="1:9">
      <c r="A1469" s="50">
        <v>45774</v>
      </c>
      <c r="B1469" s="51">
        <v>0.297962962962963</v>
      </c>
      <c r="C1469" t="s">
        <v>167</v>
      </c>
      <c r="D1469" t="s">
        <v>33</v>
      </c>
      <c r="E1469" t="s">
        <v>282</v>
      </c>
      <c r="F1469" t="s">
        <v>607</v>
      </c>
      <c r="G1469">
        <v>-9600</v>
      </c>
      <c r="H1469" t="s">
        <v>170</v>
      </c>
      <c r="I1469" t="s">
        <v>243</v>
      </c>
    </row>
    <row r="1470" spans="1:9">
      <c r="A1470" s="50">
        <v>45774</v>
      </c>
      <c r="B1470" s="51">
        <v>0.2071064814814815</v>
      </c>
      <c r="C1470" t="s">
        <v>167</v>
      </c>
      <c r="D1470" t="s">
        <v>45</v>
      </c>
      <c r="E1470" t="s">
        <v>545</v>
      </c>
      <c r="F1470" t="s">
        <v>690</v>
      </c>
      <c r="G1470">
        <v>-6500</v>
      </c>
      <c r="H1470" t="s">
        <v>170</v>
      </c>
      <c r="I1470" t="s">
        <v>243</v>
      </c>
    </row>
    <row r="1471" spans="1:9">
      <c r="A1471" s="50">
        <v>45774</v>
      </c>
      <c r="B1471" s="51">
        <v>0.1715046296296296</v>
      </c>
      <c r="C1471" t="s">
        <v>167</v>
      </c>
      <c r="D1471" t="s">
        <v>45</v>
      </c>
      <c r="E1471" t="s">
        <v>545</v>
      </c>
      <c r="F1471" t="s">
        <v>690</v>
      </c>
      <c r="G1471">
        <v>-4600</v>
      </c>
      <c r="H1471" t="s">
        <v>170</v>
      </c>
      <c r="I1471" t="s">
        <v>243</v>
      </c>
    </row>
    <row r="1472" spans="1:9">
      <c r="A1472" s="50">
        <v>45774</v>
      </c>
      <c r="B1472" s="51">
        <v>0.1650810185185185</v>
      </c>
      <c r="C1472" t="s">
        <v>167</v>
      </c>
      <c r="D1472" t="s">
        <v>33</v>
      </c>
      <c r="E1472" t="s">
        <v>257</v>
      </c>
      <c r="F1472" t="s">
        <v>275</v>
      </c>
      <c r="G1472">
        <v>-8900</v>
      </c>
      <c r="H1472" t="s">
        <v>170</v>
      </c>
      <c r="I1472" t="s">
        <v>253</v>
      </c>
    </row>
    <row r="1473" spans="1:9">
      <c r="A1473" s="50">
        <v>45774</v>
      </c>
      <c r="B1473" s="51">
        <v>0.1650578703703704</v>
      </c>
      <c r="C1473" t="s">
        <v>167</v>
      </c>
      <c r="D1473" t="s">
        <v>33</v>
      </c>
      <c r="E1473" t="s">
        <v>257</v>
      </c>
      <c r="F1473" t="s">
        <v>275</v>
      </c>
      <c r="G1473">
        <v>-3000</v>
      </c>
      <c r="H1473" t="s">
        <v>170</v>
      </c>
      <c r="I1473" t="s">
        <v>253</v>
      </c>
    </row>
    <row r="1474" spans="1:9">
      <c r="A1474" s="50">
        <v>45774</v>
      </c>
      <c r="B1474" s="51">
        <v>0.1559143518518518</v>
      </c>
      <c r="C1474" t="s">
        <v>167</v>
      </c>
      <c r="D1474" t="s">
        <v>33</v>
      </c>
      <c r="E1474" t="s">
        <v>257</v>
      </c>
      <c r="F1474" t="s">
        <v>275</v>
      </c>
      <c r="G1474">
        <v>-11600</v>
      </c>
      <c r="H1474" t="s">
        <v>170</v>
      </c>
      <c r="I1474" t="s">
        <v>253</v>
      </c>
    </row>
    <row r="1475" spans="1:9">
      <c r="A1475" s="50">
        <v>45774</v>
      </c>
      <c r="B1475" s="51">
        <v>0.1559143518518518</v>
      </c>
      <c r="C1475" t="s">
        <v>167</v>
      </c>
      <c r="D1475" t="s">
        <v>33</v>
      </c>
      <c r="E1475" t="s">
        <v>257</v>
      </c>
      <c r="F1475" t="s">
        <v>275</v>
      </c>
      <c r="G1475">
        <v>11600</v>
      </c>
      <c r="H1475" t="s">
        <v>170</v>
      </c>
      <c r="I1475" t="s">
        <v>253</v>
      </c>
    </row>
    <row r="1476" spans="1:9">
      <c r="A1476" s="50">
        <v>45774</v>
      </c>
      <c r="B1476" s="51">
        <v>0.04431712962962963</v>
      </c>
      <c r="C1476" t="s">
        <v>167</v>
      </c>
      <c r="D1476" t="s">
        <v>38</v>
      </c>
      <c r="E1476" t="s">
        <v>181</v>
      </c>
      <c r="F1476" t="s">
        <v>691</v>
      </c>
      <c r="G1476">
        <v>-7830</v>
      </c>
      <c r="H1476" t="s">
        <v>170</v>
      </c>
      <c r="I1476" t="s">
        <v>243</v>
      </c>
    </row>
    <row r="1477" spans="1:9">
      <c r="A1477" s="50">
        <v>45773</v>
      </c>
      <c r="B1477" s="51">
        <v>0.8936458333333334</v>
      </c>
      <c r="C1477" t="s">
        <v>167</v>
      </c>
      <c r="D1477" t="s">
        <v>33</v>
      </c>
      <c r="E1477" t="s">
        <v>257</v>
      </c>
      <c r="F1477" t="s">
        <v>275</v>
      </c>
      <c r="G1477">
        <v>-3000</v>
      </c>
      <c r="H1477" t="s">
        <v>170</v>
      </c>
      <c r="I1477" t="s">
        <v>253</v>
      </c>
    </row>
    <row r="1478" spans="1:9">
      <c r="A1478" s="50">
        <v>45773</v>
      </c>
      <c r="B1478" s="51">
        <v>0.8936226851851852</v>
      </c>
      <c r="C1478" t="s">
        <v>167</v>
      </c>
      <c r="D1478" t="s">
        <v>33</v>
      </c>
      <c r="E1478" t="s">
        <v>257</v>
      </c>
      <c r="F1478" t="s">
        <v>275</v>
      </c>
      <c r="G1478">
        <v>-11900</v>
      </c>
      <c r="H1478" t="s">
        <v>170</v>
      </c>
      <c r="I1478" t="s">
        <v>253</v>
      </c>
    </row>
    <row r="1479" spans="1:9">
      <c r="A1479" s="50">
        <v>45773</v>
      </c>
      <c r="B1479" s="51">
        <v>0.8744560185185185</v>
      </c>
      <c r="C1479" t="s">
        <v>167</v>
      </c>
      <c r="D1479" t="s">
        <v>33</v>
      </c>
      <c r="E1479" t="s">
        <v>257</v>
      </c>
      <c r="F1479" t="s">
        <v>275</v>
      </c>
      <c r="G1479">
        <v>-13400</v>
      </c>
      <c r="H1479" t="s">
        <v>170</v>
      </c>
      <c r="I1479" t="s">
        <v>253</v>
      </c>
    </row>
    <row r="1480" spans="1:9">
      <c r="A1480" s="50">
        <v>45773</v>
      </c>
      <c r="B1480" s="51">
        <v>0.8744560185185185</v>
      </c>
      <c r="C1480" t="s">
        <v>167</v>
      </c>
      <c r="D1480" t="s">
        <v>33</v>
      </c>
      <c r="E1480" t="s">
        <v>257</v>
      </c>
      <c r="F1480" t="s">
        <v>275</v>
      </c>
      <c r="G1480">
        <v>13400</v>
      </c>
      <c r="H1480" t="s">
        <v>170</v>
      </c>
      <c r="I1480" t="s">
        <v>253</v>
      </c>
    </row>
    <row r="1481" spans="1:9">
      <c r="A1481" s="50">
        <v>45773</v>
      </c>
      <c r="B1481" s="51">
        <v>0.7666666666666667</v>
      </c>
      <c r="C1481" t="s">
        <v>167</v>
      </c>
      <c r="D1481" t="s">
        <v>38</v>
      </c>
      <c r="E1481" t="s">
        <v>259</v>
      </c>
      <c r="F1481" t="s">
        <v>692</v>
      </c>
      <c r="G1481">
        <v>-69350</v>
      </c>
      <c r="H1481" t="s">
        <v>170</v>
      </c>
      <c r="I1481" t="s">
        <v>243</v>
      </c>
    </row>
    <row r="1482" spans="1:9">
      <c r="A1482" s="50">
        <v>45773</v>
      </c>
      <c r="B1482" s="51">
        <v>0.6770138888888889</v>
      </c>
      <c r="C1482" t="s">
        <v>172</v>
      </c>
      <c r="D1482" t="s">
        <v>195</v>
      </c>
      <c r="E1482" t="s">
        <v>173</v>
      </c>
      <c r="F1482" t="s">
        <v>7</v>
      </c>
      <c r="G1482">
        <v>-1000000</v>
      </c>
      <c r="H1482" t="s">
        <v>170</v>
      </c>
      <c r="I1482" t="s">
        <v>59</v>
      </c>
    </row>
    <row r="1483" spans="1:9">
      <c r="A1483" s="50">
        <v>45773</v>
      </c>
      <c r="B1483" s="51">
        <v>0.5290046296296296</v>
      </c>
      <c r="C1483" t="s">
        <v>167</v>
      </c>
      <c r="D1483" t="s">
        <v>42</v>
      </c>
      <c r="E1483" t="s">
        <v>338</v>
      </c>
      <c r="F1483" t="s">
        <v>339</v>
      </c>
      <c r="G1483">
        <v>-4400</v>
      </c>
      <c r="H1483" t="s">
        <v>170</v>
      </c>
      <c r="I1483" t="s">
        <v>187</v>
      </c>
    </row>
    <row r="1484" spans="1:9">
      <c r="A1484" s="50">
        <v>45773</v>
      </c>
      <c r="B1484" s="51">
        <v>0.5226851851851851</v>
      </c>
      <c r="C1484" t="s">
        <v>167</v>
      </c>
      <c r="D1484" t="s">
        <v>38</v>
      </c>
      <c r="E1484" t="s">
        <v>181</v>
      </c>
      <c r="F1484" t="s">
        <v>693</v>
      </c>
      <c r="G1484">
        <v>-900</v>
      </c>
      <c r="H1484" t="s">
        <v>170</v>
      </c>
      <c r="I1484" t="s">
        <v>243</v>
      </c>
    </row>
    <row r="1485" spans="1:9">
      <c r="A1485" s="50">
        <v>45773</v>
      </c>
      <c r="B1485" s="51">
        <v>0.2413541666666667</v>
      </c>
      <c r="C1485" t="s">
        <v>233</v>
      </c>
      <c r="D1485" t="s">
        <v>28</v>
      </c>
      <c r="E1485" t="s">
        <v>173</v>
      </c>
      <c r="F1485" t="s">
        <v>278</v>
      </c>
      <c r="G1485">
        <v>6</v>
      </c>
      <c r="H1485" t="s">
        <v>170</v>
      </c>
      <c r="I1485" t="s">
        <v>60</v>
      </c>
    </row>
    <row r="1486" spans="1:9">
      <c r="A1486" s="50">
        <v>45772</v>
      </c>
      <c r="B1486" s="51">
        <v>0.8085069444444445</v>
      </c>
      <c r="C1486" t="s">
        <v>167</v>
      </c>
      <c r="D1486" t="s">
        <v>40</v>
      </c>
      <c r="E1486" t="s">
        <v>261</v>
      </c>
      <c r="F1486" t="s">
        <v>678</v>
      </c>
      <c r="G1486">
        <v>-16600</v>
      </c>
      <c r="H1486" t="s">
        <v>170</v>
      </c>
      <c r="I1486" t="s">
        <v>237</v>
      </c>
    </row>
    <row r="1487" spans="1:9">
      <c r="A1487" s="50">
        <v>45771</v>
      </c>
      <c r="B1487" s="51">
        <v>0.8228819444444444</v>
      </c>
      <c r="C1487" t="s">
        <v>167</v>
      </c>
      <c r="D1487" t="s">
        <v>46</v>
      </c>
      <c r="E1487" t="s">
        <v>405</v>
      </c>
      <c r="F1487" t="s">
        <v>694</v>
      </c>
      <c r="G1487">
        <v>-6200</v>
      </c>
      <c r="H1487" t="s">
        <v>170</v>
      </c>
      <c r="I1487" t="s">
        <v>171</v>
      </c>
    </row>
    <row r="1488" spans="1:9">
      <c r="A1488" s="50">
        <v>45771</v>
      </c>
      <c r="B1488" s="51">
        <v>0.5657060185185185</v>
      </c>
      <c r="C1488" t="s">
        <v>167</v>
      </c>
      <c r="D1488" t="s">
        <v>40</v>
      </c>
      <c r="E1488" t="s">
        <v>261</v>
      </c>
      <c r="F1488" t="s">
        <v>262</v>
      </c>
      <c r="G1488">
        <v>-14000</v>
      </c>
      <c r="H1488" t="s">
        <v>170</v>
      </c>
      <c r="I1488" t="s">
        <v>243</v>
      </c>
    </row>
    <row r="1489" spans="1:9">
      <c r="A1489" s="50">
        <v>45771</v>
      </c>
      <c r="B1489" s="51">
        <v>0.1017939814814815</v>
      </c>
      <c r="C1489" t="s">
        <v>167</v>
      </c>
      <c r="D1489" t="s">
        <v>40</v>
      </c>
      <c r="E1489" t="s">
        <v>261</v>
      </c>
      <c r="F1489" t="s">
        <v>262</v>
      </c>
      <c r="G1489">
        <v>-22000</v>
      </c>
      <c r="H1489" t="s">
        <v>170</v>
      </c>
      <c r="I1489" t="s">
        <v>243</v>
      </c>
    </row>
    <row r="1490" spans="1:9">
      <c r="A1490" s="50">
        <v>45771</v>
      </c>
      <c r="B1490" s="51">
        <v>0.1014699074074074</v>
      </c>
      <c r="C1490" t="s">
        <v>167</v>
      </c>
      <c r="D1490" t="s">
        <v>40</v>
      </c>
      <c r="E1490" t="s">
        <v>261</v>
      </c>
      <c r="F1490" t="s">
        <v>262</v>
      </c>
      <c r="G1490">
        <v>14000</v>
      </c>
      <c r="H1490" t="s">
        <v>170</v>
      </c>
      <c r="I1490" t="s">
        <v>243</v>
      </c>
    </row>
    <row r="1491" spans="1:9">
      <c r="A1491" s="50">
        <v>45771</v>
      </c>
      <c r="B1491" s="51">
        <v>0.1013310185185185</v>
      </c>
      <c r="C1491" t="s">
        <v>167</v>
      </c>
      <c r="D1491" t="s">
        <v>40</v>
      </c>
      <c r="E1491" t="s">
        <v>261</v>
      </c>
      <c r="F1491" t="s">
        <v>262</v>
      </c>
      <c r="G1491">
        <v>-14000</v>
      </c>
      <c r="H1491" t="s">
        <v>170</v>
      </c>
      <c r="I1491" t="s">
        <v>243</v>
      </c>
    </row>
    <row r="1492" spans="1:9">
      <c r="A1492" s="50">
        <v>45771</v>
      </c>
      <c r="B1492" s="51">
        <v>0.1012731481481482</v>
      </c>
      <c r="C1492" t="s">
        <v>172</v>
      </c>
      <c r="D1492" t="s">
        <v>195</v>
      </c>
      <c r="E1492" t="s">
        <v>173</v>
      </c>
      <c r="F1492" t="s">
        <v>7</v>
      </c>
      <c r="G1492">
        <v>-100000</v>
      </c>
      <c r="H1492" t="s">
        <v>170</v>
      </c>
      <c r="I1492" t="s">
        <v>59</v>
      </c>
    </row>
    <row r="1493" spans="1:9">
      <c r="A1493" s="50">
        <v>45770</v>
      </c>
      <c r="B1493" s="51">
        <v>0.8205555555555556</v>
      </c>
      <c r="C1493" t="s">
        <v>167</v>
      </c>
      <c r="D1493" t="s">
        <v>40</v>
      </c>
      <c r="E1493" t="s">
        <v>176</v>
      </c>
      <c r="F1493" t="s">
        <v>695</v>
      </c>
      <c r="G1493">
        <v>-24000</v>
      </c>
      <c r="H1493" t="s">
        <v>170</v>
      </c>
      <c r="I1493" t="s">
        <v>187</v>
      </c>
    </row>
    <row r="1494" spans="1:9">
      <c r="A1494" s="50">
        <v>45770</v>
      </c>
      <c r="B1494" s="51">
        <v>0.7513078703703704</v>
      </c>
      <c r="C1494" t="s">
        <v>167</v>
      </c>
      <c r="D1494" t="s">
        <v>42</v>
      </c>
      <c r="E1494" t="s">
        <v>338</v>
      </c>
      <c r="F1494" t="s">
        <v>339</v>
      </c>
      <c r="G1494">
        <v>-17600</v>
      </c>
      <c r="H1494" t="s">
        <v>170</v>
      </c>
      <c r="I1494" t="s">
        <v>187</v>
      </c>
    </row>
    <row r="1495" spans="1:9">
      <c r="A1495" s="50">
        <v>45770</v>
      </c>
      <c r="B1495" s="51">
        <v>0.7333101851851852</v>
      </c>
      <c r="C1495" t="s">
        <v>167</v>
      </c>
      <c r="D1495" t="s">
        <v>40</v>
      </c>
      <c r="E1495" t="s">
        <v>261</v>
      </c>
      <c r="F1495" t="s">
        <v>262</v>
      </c>
      <c r="G1495">
        <v>-22000</v>
      </c>
      <c r="H1495" t="s">
        <v>170</v>
      </c>
      <c r="I1495" t="s">
        <v>243</v>
      </c>
    </row>
    <row r="1496" spans="1:9">
      <c r="A1496" s="50">
        <v>45770</v>
      </c>
      <c r="B1496" s="51">
        <v>0.4490856481481482</v>
      </c>
      <c r="C1496" t="s">
        <v>167</v>
      </c>
      <c r="D1496" t="s">
        <v>42</v>
      </c>
      <c r="E1496" t="s">
        <v>235</v>
      </c>
      <c r="F1496" t="s">
        <v>353</v>
      </c>
      <c r="G1496">
        <v>-29900</v>
      </c>
      <c r="H1496" t="s">
        <v>170</v>
      </c>
      <c r="I1496" t="s">
        <v>187</v>
      </c>
    </row>
    <row r="1497" spans="1:9">
      <c r="A1497" s="50">
        <v>45769</v>
      </c>
      <c r="B1497" s="51">
        <v>0.6159259259259259</v>
      </c>
      <c r="C1497" t="s">
        <v>167</v>
      </c>
      <c r="D1497" t="s">
        <v>40</v>
      </c>
      <c r="E1497" t="s">
        <v>176</v>
      </c>
      <c r="F1497" t="s">
        <v>696</v>
      </c>
      <c r="G1497">
        <v>-20000</v>
      </c>
      <c r="H1497" t="s">
        <v>170</v>
      </c>
      <c r="I1497" t="s">
        <v>171</v>
      </c>
    </row>
    <row r="1498" spans="1:9">
      <c r="A1498" s="50">
        <v>45768</v>
      </c>
      <c r="B1498" s="51">
        <v>0.7724537037037037</v>
      </c>
      <c r="C1498" t="s">
        <v>167</v>
      </c>
      <c r="D1498" t="s">
        <v>42</v>
      </c>
      <c r="E1498" t="s">
        <v>338</v>
      </c>
      <c r="F1498" t="s">
        <v>339</v>
      </c>
      <c r="G1498">
        <v>-8800</v>
      </c>
      <c r="H1498" t="s">
        <v>170</v>
      </c>
      <c r="I1498" t="s">
        <v>187</v>
      </c>
    </row>
    <row r="1499" spans="1:9">
      <c r="A1499" s="50">
        <v>45768</v>
      </c>
      <c r="B1499" s="51">
        <v>0.494386574074074</v>
      </c>
      <c r="C1499" t="s">
        <v>167</v>
      </c>
      <c r="D1499" t="s">
        <v>42</v>
      </c>
      <c r="E1499" t="s">
        <v>188</v>
      </c>
      <c r="F1499" t="s">
        <v>493</v>
      </c>
      <c r="G1499">
        <v>-31495</v>
      </c>
      <c r="H1499" t="s">
        <v>170</v>
      </c>
      <c r="I1499" t="s">
        <v>187</v>
      </c>
    </row>
    <row r="1500" spans="1:9">
      <c r="A1500" s="50">
        <v>45767</v>
      </c>
      <c r="B1500" s="51">
        <v>0.9412962962962963</v>
      </c>
      <c r="C1500" t="s">
        <v>167</v>
      </c>
      <c r="D1500" t="s">
        <v>40</v>
      </c>
      <c r="E1500" t="s">
        <v>261</v>
      </c>
      <c r="F1500" t="s">
        <v>687</v>
      </c>
      <c r="G1500">
        <v>-22000</v>
      </c>
      <c r="H1500" t="s">
        <v>170</v>
      </c>
      <c r="I1500" t="s">
        <v>237</v>
      </c>
    </row>
    <row r="1501" spans="1:9">
      <c r="A1501" s="50">
        <v>45767</v>
      </c>
      <c r="B1501" s="51">
        <v>0.7383796296296297</v>
      </c>
      <c r="C1501" t="s">
        <v>167</v>
      </c>
      <c r="D1501" t="s">
        <v>34</v>
      </c>
      <c r="E1501" t="s">
        <v>208</v>
      </c>
      <c r="F1501" t="s">
        <v>676</v>
      </c>
      <c r="G1501">
        <v>-30090</v>
      </c>
      <c r="H1501" t="s">
        <v>170</v>
      </c>
      <c r="I1501" t="s">
        <v>426</v>
      </c>
    </row>
    <row r="1502" spans="1:9">
      <c r="A1502" s="50">
        <v>45767</v>
      </c>
      <c r="B1502" s="51">
        <v>0.622199074074074</v>
      </c>
      <c r="C1502" t="s">
        <v>167</v>
      </c>
      <c r="D1502" t="s">
        <v>38</v>
      </c>
      <c r="E1502" t="s">
        <v>181</v>
      </c>
      <c r="F1502" t="s">
        <v>619</v>
      </c>
      <c r="G1502">
        <v>-4700</v>
      </c>
      <c r="H1502" t="s">
        <v>170</v>
      </c>
      <c r="I1502" t="s">
        <v>243</v>
      </c>
    </row>
    <row r="1503" spans="1:9">
      <c r="A1503" s="50">
        <v>45767</v>
      </c>
      <c r="B1503" s="51">
        <v>0.6182407407407408</v>
      </c>
      <c r="C1503" t="s">
        <v>167</v>
      </c>
      <c r="D1503" t="s">
        <v>46</v>
      </c>
      <c r="E1503" t="s">
        <v>168</v>
      </c>
      <c r="F1503" t="s">
        <v>582</v>
      </c>
      <c r="G1503">
        <v>-1000</v>
      </c>
      <c r="H1503" t="s">
        <v>170</v>
      </c>
      <c r="I1503" t="s">
        <v>243</v>
      </c>
    </row>
    <row r="1504" spans="1:9">
      <c r="A1504" s="50">
        <v>45767</v>
      </c>
      <c r="B1504" s="51">
        <v>0.6168402777777777</v>
      </c>
      <c r="C1504" t="s">
        <v>167</v>
      </c>
      <c r="D1504" t="s">
        <v>46</v>
      </c>
      <c r="E1504" t="s">
        <v>168</v>
      </c>
      <c r="F1504" t="s">
        <v>582</v>
      </c>
      <c r="G1504">
        <v>-3500</v>
      </c>
      <c r="H1504" t="s">
        <v>170</v>
      </c>
      <c r="I1504" t="s">
        <v>243</v>
      </c>
    </row>
    <row r="1505" spans="1:9">
      <c r="A1505" s="50">
        <v>45766</v>
      </c>
      <c r="B1505" s="51">
        <v>0.9278703703703703</v>
      </c>
      <c r="C1505" t="s">
        <v>167</v>
      </c>
      <c r="D1505" t="s">
        <v>35</v>
      </c>
      <c r="E1505" t="s">
        <v>360</v>
      </c>
      <c r="F1505" t="s">
        <v>681</v>
      </c>
      <c r="G1505">
        <v>-49000</v>
      </c>
      <c r="H1505" t="s">
        <v>170</v>
      </c>
      <c r="I1505" t="s">
        <v>237</v>
      </c>
    </row>
    <row r="1506" spans="1:9">
      <c r="A1506" s="50">
        <v>45766</v>
      </c>
      <c r="B1506" s="51">
        <v>0.8455902777777777</v>
      </c>
      <c r="C1506" t="s">
        <v>167</v>
      </c>
      <c r="D1506" t="s">
        <v>38</v>
      </c>
      <c r="E1506" t="s">
        <v>181</v>
      </c>
      <c r="F1506" t="s">
        <v>619</v>
      </c>
      <c r="G1506">
        <v>-4500</v>
      </c>
      <c r="H1506" t="s">
        <v>170</v>
      </c>
      <c r="I1506" t="s">
        <v>243</v>
      </c>
    </row>
    <row r="1507" spans="1:9">
      <c r="A1507" s="50">
        <v>45766</v>
      </c>
      <c r="B1507" s="51">
        <v>0.8415046296296296</v>
      </c>
      <c r="C1507" t="s">
        <v>167</v>
      </c>
      <c r="D1507" t="s">
        <v>40</v>
      </c>
      <c r="E1507" t="s">
        <v>630</v>
      </c>
      <c r="F1507" t="s">
        <v>697</v>
      </c>
      <c r="G1507">
        <v>-18000</v>
      </c>
      <c r="H1507" t="s">
        <v>170</v>
      </c>
      <c r="I1507" t="s">
        <v>243</v>
      </c>
    </row>
    <row r="1508" spans="1:9">
      <c r="A1508" s="50">
        <v>45766</v>
      </c>
      <c r="B1508" s="51">
        <v>0.6926388888888889</v>
      </c>
      <c r="C1508" t="s">
        <v>167</v>
      </c>
      <c r="D1508" t="s">
        <v>42</v>
      </c>
      <c r="E1508" t="s">
        <v>235</v>
      </c>
      <c r="F1508" t="s">
        <v>353</v>
      </c>
      <c r="G1508">
        <v>-74900</v>
      </c>
      <c r="H1508" t="s">
        <v>170</v>
      </c>
      <c r="I1508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2026-04-18T11:48:46Z</dcterms:created>
  <dcterms:modified xsi:type="dcterms:W3CDTF">2026-04-18T11:48:46Z</dcterms:modified>
</cp:coreProperties>
</file>